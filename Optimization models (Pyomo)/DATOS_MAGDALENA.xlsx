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"/>
    </mc:Choice>
  </mc:AlternateContent>
  <xr:revisionPtr revIDLastSave="0" documentId="8_{1552BBB4-B6EF-4DAD-AB5D-137D08BD4973}" xr6:coauthVersionLast="47" xr6:coauthVersionMax="47" xr10:uidLastSave="{00000000-0000-0000-0000-000000000000}"/>
  <bookViews>
    <workbookView xWindow="-108" yWindow="-108" windowWidth="23256" windowHeight="12576" firstSheet="2" activeTab="5" xr2:uid="{9A9CA67D-EE40-4E3E-9D9B-040C0F92BC86}"/>
  </bookViews>
  <sheets>
    <sheet name="Contenido" sheetId="1" r:id="rId1"/>
    <sheet name="Conjuntos" sheetId="2" r:id="rId2"/>
    <sheet name="Productores" sheetId="4" r:id="rId3"/>
    <sheet name="CAcopio" sheetId="5" r:id="rId4"/>
    <sheet name="Clientes" sheetId="8" r:id="rId5"/>
    <sheet name="Productos" sheetId="16" r:id="rId6"/>
    <sheet name="Tiempo" sheetId="11" r:id="rId7"/>
    <sheet name="Costos" sheetId="9" r:id="rId8"/>
    <sheet name="CostoProduccion" sheetId="56" r:id="rId9"/>
    <sheet name="CostoFijoAcopio" sheetId="20" r:id="rId10"/>
    <sheet name="CostoVarAcopio" sheetId="10" r:id="rId11"/>
    <sheet name="CostoInvAcopio" sheetId="43" r:id="rId12"/>
    <sheet name="Costo de transporte" sheetId="35" r:id="rId13"/>
    <sheet name="CostoTransProdAcopio" sheetId="22" r:id="rId14"/>
    <sheet name="CostoTransAcopioClie" sheetId="23" r:id="rId15"/>
    <sheet name="Capacidades" sheetId="30" r:id="rId16"/>
    <sheet name="CapProductores" sheetId="55" r:id="rId17"/>
    <sheet name="CapAcopio" sheetId="37" r:id="rId18"/>
    <sheet name="Demanda" sheetId="41" r:id="rId19"/>
    <sheet name="DemandaClie" sheetId="40" r:id="rId20"/>
  </sheets>
  <definedNames>
    <definedName name="_xlnm._FilterDatabase" localSheetId="16" hidden="1">CapProductores!$B$2:$B$12</definedName>
    <definedName name="_xlnm._FilterDatabase" localSheetId="19" hidden="1">DemandaClie!$B$2:$D$8</definedName>
    <definedName name="solver_eng" localSheetId="19" hidden="1">1</definedName>
    <definedName name="solver_neg" localSheetId="19" hidden="1">1</definedName>
    <definedName name="solver_num" localSheetId="19" hidden="1">0</definedName>
    <definedName name="solver_opt" localSheetId="19" hidden="1">DemandaClie!$C$3</definedName>
    <definedName name="solver_typ" localSheetId="19" hidden="1">1</definedName>
    <definedName name="solver_val" localSheetId="19" hidden="1">0</definedName>
    <definedName name="solver_ver" localSheetId="19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41" i="55" l="1"/>
  <c r="Q39" i="55"/>
  <c r="Q4" i="55" l="1"/>
  <c r="L51" i="41"/>
  <c r="K51" i="41"/>
  <c r="L50" i="41"/>
  <c r="K50" i="41"/>
  <c r="L49" i="41"/>
  <c r="K49" i="41"/>
  <c r="L48" i="41"/>
  <c r="K48" i="41"/>
  <c r="L47" i="41"/>
  <c r="K47" i="41"/>
  <c r="L46" i="41"/>
  <c r="K46" i="41"/>
  <c r="L45" i="41"/>
  <c r="K45" i="41"/>
  <c r="L44" i="41"/>
  <c r="K44" i="41"/>
  <c r="L43" i="41"/>
  <c r="K43" i="41"/>
  <c r="L42" i="41"/>
  <c r="K42" i="41"/>
  <c r="L41" i="41"/>
  <c r="K41" i="41"/>
  <c r="L40" i="41"/>
  <c r="K40" i="41"/>
  <c r="L39" i="41"/>
  <c r="K39" i="41"/>
  <c r="L38" i="41"/>
  <c r="K38" i="41"/>
  <c r="L37" i="41"/>
  <c r="K37" i="41"/>
  <c r="L36" i="41"/>
  <c r="K36" i="41"/>
  <c r="L35" i="41"/>
  <c r="K35" i="41"/>
  <c r="L34" i="41"/>
  <c r="K34" i="41"/>
  <c r="L33" i="41"/>
  <c r="K33" i="41"/>
  <c r="L32" i="41"/>
  <c r="K32" i="41"/>
  <c r="L31" i="41"/>
  <c r="K31" i="41"/>
  <c r="L30" i="41"/>
  <c r="K30" i="41"/>
  <c r="L29" i="41"/>
  <c r="K29" i="41"/>
  <c r="L28" i="41"/>
  <c r="K28" i="41"/>
  <c r="L27" i="41"/>
  <c r="K27" i="41"/>
  <c r="L26" i="41"/>
  <c r="K26" i="41"/>
  <c r="L25" i="41"/>
  <c r="K25" i="41"/>
  <c r="L24" i="41"/>
  <c r="K24" i="41"/>
  <c r="L23" i="41"/>
  <c r="K23" i="41"/>
  <c r="L22" i="41"/>
  <c r="K22" i="41"/>
  <c r="L21" i="41"/>
  <c r="K21" i="41"/>
  <c r="L20" i="41"/>
  <c r="K20" i="41"/>
  <c r="L19" i="41"/>
  <c r="K19" i="41"/>
  <c r="L18" i="41"/>
  <c r="K18" i="41"/>
  <c r="L17" i="41"/>
  <c r="K17" i="41"/>
  <c r="C12" i="41"/>
  <c r="D12" i="41"/>
  <c r="E12" i="41"/>
  <c r="G12" i="41"/>
  <c r="H12" i="41"/>
  <c r="I12" i="41"/>
  <c r="J12" i="41"/>
  <c r="K12" i="41"/>
  <c r="L12" i="41"/>
  <c r="M12" i="41"/>
  <c r="N12" i="41"/>
  <c r="F12" i="41"/>
  <c r="L54" i="35"/>
  <c r="M54" i="35" s="1"/>
  <c r="L55" i="35"/>
  <c r="M55" i="35" s="1"/>
  <c r="L53" i="35"/>
  <c r="M53" i="35" s="1"/>
  <c r="O49" i="35"/>
  <c r="U49" i="35" s="1"/>
  <c r="Z49" i="35" s="1"/>
  <c r="N49" i="35"/>
  <c r="T49" i="35" s="1"/>
  <c r="Y49" i="35" s="1"/>
  <c r="N44" i="35"/>
  <c r="T44" i="35" s="1"/>
  <c r="Y44" i="35" s="1"/>
  <c r="O39" i="35"/>
  <c r="U39" i="35" s="1"/>
  <c r="Z39" i="35" s="1"/>
  <c r="P39" i="35"/>
  <c r="V39" i="35" s="1"/>
  <c r="AA39" i="35" s="1"/>
  <c r="N39" i="35"/>
  <c r="T39" i="35" s="1"/>
  <c r="Y39" i="35" s="1"/>
  <c r="J9" i="9"/>
  <c r="K9" i="9"/>
  <c r="I9" i="9"/>
  <c r="V15" i="35"/>
  <c r="AI15" i="35" s="1"/>
  <c r="V7" i="35"/>
  <c r="AI7" i="35" s="1"/>
  <c r="V8" i="35"/>
  <c r="AI8" i="35" s="1"/>
  <c r="V9" i="35"/>
  <c r="AI9" i="35" s="1"/>
  <c r="V10" i="35"/>
  <c r="AI10" i="35" s="1"/>
  <c r="V11" i="35"/>
  <c r="AI11" i="35" s="1"/>
  <c r="V12" i="35"/>
  <c r="AI12" i="35" s="1"/>
  <c r="V13" i="35"/>
  <c r="AI13" i="35" s="1"/>
  <c r="V14" i="35"/>
  <c r="AI14" i="35" s="1"/>
  <c r="V16" i="35"/>
  <c r="AI16" i="35" s="1"/>
  <c r="V6" i="35"/>
  <c r="W7" i="35"/>
  <c r="X7" i="35"/>
  <c r="AK7" i="35" s="1"/>
  <c r="Y7" i="35"/>
  <c r="AL7" i="35" s="1"/>
  <c r="Z7" i="35"/>
  <c r="AM7" i="35" s="1"/>
  <c r="AA7" i="35"/>
  <c r="AN7" i="35" s="1"/>
  <c r="AB7" i="35"/>
  <c r="AO7" i="35" s="1"/>
  <c r="AC7" i="35"/>
  <c r="AP7" i="35" s="1"/>
  <c r="AD7" i="35"/>
  <c r="AQ7" i="35" s="1"/>
  <c r="AE7" i="35"/>
  <c r="AR7" i="35" s="1"/>
  <c r="AF7" i="35"/>
  <c r="AS7" i="35" s="1"/>
  <c r="W8" i="35"/>
  <c r="AJ8" i="35" s="1"/>
  <c r="X8" i="35"/>
  <c r="Y8" i="35"/>
  <c r="AL8" i="35" s="1"/>
  <c r="Z8" i="35"/>
  <c r="AM8" i="35" s="1"/>
  <c r="AA8" i="35"/>
  <c r="AN8" i="35" s="1"/>
  <c r="AB8" i="35"/>
  <c r="AO8" i="35" s="1"/>
  <c r="AC8" i="35"/>
  <c r="AP8" i="35" s="1"/>
  <c r="AD8" i="35"/>
  <c r="AQ8" i="35" s="1"/>
  <c r="AE8" i="35"/>
  <c r="AR8" i="35" s="1"/>
  <c r="AF8" i="35"/>
  <c r="AS8" i="35" s="1"/>
  <c r="W9" i="35"/>
  <c r="AJ9" i="35" s="1"/>
  <c r="X9" i="35"/>
  <c r="AK9" i="35" s="1"/>
  <c r="Y9" i="35"/>
  <c r="Z9" i="35"/>
  <c r="AM9" i="35" s="1"/>
  <c r="AA9" i="35"/>
  <c r="AN9" i="35" s="1"/>
  <c r="AB9" i="35"/>
  <c r="AO9" i="35" s="1"/>
  <c r="AC9" i="35"/>
  <c r="AP9" i="35" s="1"/>
  <c r="AD9" i="35"/>
  <c r="AQ9" i="35" s="1"/>
  <c r="AE9" i="35"/>
  <c r="AR9" i="35" s="1"/>
  <c r="AF9" i="35"/>
  <c r="AS9" i="35" s="1"/>
  <c r="W10" i="35"/>
  <c r="AJ10" i="35" s="1"/>
  <c r="X10" i="35"/>
  <c r="AK10" i="35" s="1"/>
  <c r="Y10" i="35"/>
  <c r="AL10" i="35" s="1"/>
  <c r="Z10" i="35"/>
  <c r="AA10" i="35"/>
  <c r="AN10" i="35" s="1"/>
  <c r="AB10" i="35"/>
  <c r="AO10" i="35" s="1"/>
  <c r="AC10" i="35"/>
  <c r="AP10" i="35" s="1"/>
  <c r="AD10" i="35"/>
  <c r="AQ10" i="35" s="1"/>
  <c r="AE10" i="35"/>
  <c r="AR10" i="35" s="1"/>
  <c r="AF10" i="35"/>
  <c r="AS10" i="35" s="1"/>
  <c r="W11" i="35"/>
  <c r="AJ11" i="35" s="1"/>
  <c r="X11" i="35"/>
  <c r="AK11" i="35" s="1"/>
  <c r="Y11" i="35"/>
  <c r="AL11" i="35" s="1"/>
  <c r="Z11" i="35"/>
  <c r="AM11" i="35" s="1"/>
  <c r="AA11" i="35"/>
  <c r="AB11" i="35"/>
  <c r="AO11" i="35" s="1"/>
  <c r="AC11" i="35"/>
  <c r="AP11" i="35" s="1"/>
  <c r="AD11" i="35"/>
  <c r="AQ11" i="35" s="1"/>
  <c r="AE11" i="35"/>
  <c r="AR11" i="35" s="1"/>
  <c r="AF11" i="35"/>
  <c r="AS11" i="35" s="1"/>
  <c r="W12" i="35"/>
  <c r="AJ12" i="35" s="1"/>
  <c r="X12" i="35"/>
  <c r="AK12" i="35" s="1"/>
  <c r="Y12" i="35"/>
  <c r="AL12" i="35" s="1"/>
  <c r="Z12" i="35"/>
  <c r="AM12" i="35" s="1"/>
  <c r="AA12" i="35"/>
  <c r="AN12" i="35" s="1"/>
  <c r="AB12" i="35"/>
  <c r="AC12" i="35"/>
  <c r="AP12" i="35" s="1"/>
  <c r="AD12" i="35"/>
  <c r="AQ12" i="35" s="1"/>
  <c r="AE12" i="35"/>
  <c r="AR12" i="35" s="1"/>
  <c r="AF12" i="35"/>
  <c r="AS12" i="35" s="1"/>
  <c r="W13" i="35"/>
  <c r="AJ13" i="35" s="1"/>
  <c r="X13" i="35"/>
  <c r="AK13" i="35" s="1"/>
  <c r="Y13" i="35"/>
  <c r="AL13" i="35" s="1"/>
  <c r="Z13" i="35"/>
  <c r="AM13" i="35" s="1"/>
  <c r="AA13" i="35"/>
  <c r="AN13" i="35" s="1"/>
  <c r="AB13" i="35"/>
  <c r="AO13" i="35" s="1"/>
  <c r="AC13" i="35"/>
  <c r="AD13" i="35"/>
  <c r="AQ13" i="35" s="1"/>
  <c r="AE13" i="35"/>
  <c r="AR13" i="35" s="1"/>
  <c r="AF13" i="35"/>
  <c r="AS13" i="35" s="1"/>
  <c r="W14" i="35"/>
  <c r="AJ14" i="35" s="1"/>
  <c r="X14" i="35"/>
  <c r="AK14" i="35" s="1"/>
  <c r="Y14" i="35"/>
  <c r="AL14" i="35" s="1"/>
  <c r="Z14" i="35"/>
  <c r="AM14" i="35" s="1"/>
  <c r="AA14" i="35"/>
  <c r="AN14" i="35" s="1"/>
  <c r="AB14" i="35"/>
  <c r="AO14" i="35" s="1"/>
  <c r="AC14" i="35"/>
  <c r="AP14" i="35" s="1"/>
  <c r="AD14" i="35"/>
  <c r="AE14" i="35"/>
  <c r="AR14" i="35" s="1"/>
  <c r="AF14" i="35"/>
  <c r="AS14" i="35" s="1"/>
  <c r="W15" i="35"/>
  <c r="AJ15" i="35" s="1"/>
  <c r="X15" i="35"/>
  <c r="AK15" i="35" s="1"/>
  <c r="Y15" i="35"/>
  <c r="AL15" i="35" s="1"/>
  <c r="Z15" i="35"/>
  <c r="AM15" i="35" s="1"/>
  <c r="AA15" i="35"/>
  <c r="AN15" i="35" s="1"/>
  <c r="AB15" i="35"/>
  <c r="AO15" i="35" s="1"/>
  <c r="AC15" i="35"/>
  <c r="AP15" i="35" s="1"/>
  <c r="AD15" i="35"/>
  <c r="AQ15" i="35" s="1"/>
  <c r="AE15" i="35"/>
  <c r="AF15" i="35"/>
  <c r="AS15" i="35" s="1"/>
  <c r="W16" i="35"/>
  <c r="AJ16" i="35" s="1"/>
  <c r="X16" i="35"/>
  <c r="AK16" i="35" s="1"/>
  <c r="Y16" i="35"/>
  <c r="AL16" i="35" s="1"/>
  <c r="Z16" i="35"/>
  <c r="AM16" i="35" s="1"/>
  <c r="AA16" i="35"/>
  <c r="AN16" i="35" s="1"/>
  <c r="AB16" i="35"/>
  <c r="AO16" i="35" s="1"/>
  <c r="AC16" i="35"/>
  <c r="AP16" i="35" s="1"/>
  <c r="AD16" i="35"/>
  <c r="AQ16" i="35" s="1"/>
  <c r="AE16" i="35"/>
  <c r="AR16" i="35" s="1"/>
  <c r="AF16" i="35"/>
  <c r="X6" i="35"/>
  <c r="AK6" i="35" s="1"/>
  <c r="Y6" i="35"/>
  <c r="AL6" i="35" s="1"/>
  <c r="Z6" i="35"/>
  <c r="AM6" i="35" s="1"/>
  <c r="AA6" i="35"/>
  <c r="AN6" i="35" s="1"/>
  <c r="AB6" i="35"/>
  <c r="AO6" i="35" s="1"/>
  <c r="AC6" i="35"/>
  <c r="AP6" i="35" s="1"/>
  <c r="AD6" i="35"/>
  <c r="AQ6" i="35" s="1"/>
  <c r="AE6" i="35"/>
  <c r="AR6" i="35" s="1"/>
  <c r="AF6" i="35"/>
  <c r="AS6" i="35" s="1"/>
  <c r="W6" i="35"/>
  <c r="AJ6" i="35" s="1"/>
  <c r="L52" i="41" l="1"/>
  <c r="D8" i="41" s="1"/>
  <c r="H8" i="41" s="1"/>
  <c r="K52" i="41"/>
  <c r="D7" i="41" s="1"/>
  <c r="F7" i="41" s="1"/>
  <c r="AS18" i="35"/>
  <c r="E7" i="41" l="1"/>
  <c r="F8" i="41"/>
  <c r="I8" i="41"/>
  <c r="J8" i="41"/>
  <c r="L8" i="41"/>
  <c r="N8" i="41"/>
  <c r="E8" i="41"/>
  <c r="K8" i="41"/>
  <c r="O8" i="41"/>
  <c r="G8" i="41"/>
  <c r="M8" i="41"/>
  <c r="H7" i="41"/>
  <c r="L7" i="41"/>
  <c r="I7" i="41"/>
  <c r="J7" i="41"/>
  <c r="K7" i="41"/>
  <c r="M7" i="41"/>
  <c r="N7" i="41"/>
  <c r="O7" i="41"/>
  <c r="G7" i="41"/>
  <c r="G4" i="30"/>
  <c r="G5" i="30"/>
  <c r="I5" i="30" s="1"/>
  <c r="G6" i="30"/>
  <c r="I6" i="30" s="1"/>
  <c r="G7" i="30"/>
  <c r="I7" i="30" s="1"/>
  <c r="H8" i="30"/>
  <c r="H9" i="30"/>
  <c r="I9" i="30" s="1"/>
  <c r="H10" i="30"/>
  <c r="I10" i="30" s="1"/>
  <c r="H11" i="30"/>
  <c r="I11" i="30" s="1"/>
  <c r="H12" i="30"/>
  <c r="I12" i="30" s="1"/>
  <c r="H13" i="30"/>
  <c r="G14" i="30"/>
  <c r="H14" i="30"/>
  <c r="G15" i="30"/>
  <c r="I15" i="30" s="1"/>
  <c r="H16" i="30"/>
  <c r="I16" i="30" s="1"/>
  <c r="H17" i="30"/>
  <c r="I17" i="30" s="1"/>
  <c r="H18" i="30"/>
  <c r="I18" i="30" s="1"/>
  <c r="G19" i="30"/>
  <c r="I19" i="30" s="1"/>
  <c r="H20" i="30"/>
  <c r="I20" i="30" s="1"/>
  <c r="H21" i="30"/>
  <c r="I21" i="30" s="1"/>
  <c r="H22" i="30"/>
  <c r="I22" i="30" s="1"/>
  <c r="G23" i="30"/>
  <c r="I23" i="30" s="1"/>
  <c r="G24" i="30"/>
  <c r="H24" i="30"/>
  <c r="H25" i="30"/>
  <c r="I25" i="30" s="1"/>
  <c r="G26" i="30"/>
  <c r="H26" i="30"/>
  <c r="H27" i="30"/>
  <c r="I27" i="30" s="1"/>
  <c r="D40" i="9"/>
  <c r="E27" i="9"/>
  <c r="E34" i="9" s="1"/>
  <c r="S28" i="9" s="1"/>
  <c r="F27" i="9"/>
  <c r="F34" i="9" s="1"/>
  <c r="T28" i="9" s="1"/>
  <c r="G27" i="9"/>
  <c r="G34" i="9" s="1"/>
  <c r="U28" i="9" s="1"/>
  <c r="H27" i="9"/>
  <c r="H34" i="9" s="1"/>
  <c r="V28" i="9" s="1"/>
  <c r="I27" i="9"/>
  <c r="I34" i="9" s="1"/>
  <c r="W28" i="9" s="1"/>
  <c r="J27" i="9"/>
  <c r="J34" i="9" s="1"/>
  <c r="X28" i="9" s="1"/>
  <c r="K27" i="9"/>
  <c r="K34" i="9" s="1"/>
  <c r="Y28" i="9" s="1"/>
  <c r="L27" i="9"/>
  <c r="L34" i="9" s="1"/>
  <c r="Z28" i="9" s="1"/>
  <c r="M27" i="9"/>
  <c r="M34" i="9" s="1"/>
  <c r="AA28" i="9" s="1"/>
  <c r="N27" i="9"/>
  <c r="N34" i="9" s="1"/>
  <c r="AB28" i="9" s="1"/>
  <c r="O27" i="9"/>
  <c r="O34" i="9" s="1"/>
  <c r="AC28" i="9" s="1"/>
  <c r="D27" i="9"/>
  <c r="D34" i="9" s="1"/>
  <c r="R28" i="9" s="1"/>
  <c r="O40" i="9"/>
  <c r="N40" i="9"/>
  <c r="M40" i="9"/>
  <c r="L40" i="9"/>
  <c r="K40" i="9"/>
  <c r="K47" i="9" s="1"/>
  <c r="Y29" i="9" s="1"/>
  <c r="J40" i="9"/>
  <c r="J47" i="9" s="1"/>
  <c r="X29" i="9" s="1"/>
  <c r="I40" i="9"/>
  <c r="I47" i="9" s="1"/>
  <c r="W29" i="9" s="1"/>
  <c r="H40" i="9"/>
  <c r="H47" i="9" s="1"/>
  <c r="V29" i="9" s="1"/>
  <c r="G40" i="9"/>
  <c r="G47" i="9" s="1"/>
  <c r="U29" i="9" s="1"/>
  <c r="F40" i="9"/>
  <c r="F47" i="9" s="1"/>
  <c r="T29" i="9" s="1"/>
  <c r="E40" i="9"/>
  <c r="E47" i="9" s="1"/>
  <c r="S29" i="9" s="1"/>
  <c r="F14" i="9"/>
  <c r="F21" i="9" s="1"/>
  <c r="T27" i="9" s="1"/>
  <c r="G14" i="9"/>
  <c r="G21" i="9" s="1"/>
  <c r="U27" i="9" s="1"/>
  <c r="H14" i="9"/>
  <c r="H21" i="9" s="1"/>
  <c r="V27" i="9" s="1"/>
  <c r="I14" i="9"/>
  <c r="I21" i="9" s="1"/>
  <c r="W27" i="9" s="1"/>
  <c r="J14" i="9"/>
  <c r="J21" i="9" s="1"/>
  <c r="X27" i="9" s="1"/>
  <c r="K14" i="9"/>
  <c r="K21" i="9" s="1"/>
  <c r="Y27" i="9" s="1"/>
  <c r="L14" i="9"/>
  <c r="L21" i="9" s="1"/>
  <c r="Z27" i="9" s="1"/>
  <c r="M14" i="9"/>
  <c r="M21" i="9" s="1"/>
  <c r="AA27" i="9" s="1"/>
  <c r="N14" i="9"/>
  <c r="N21" i="9" s="1"/>
  <c r="AB27" i="9" s="1"/>
  <c r="O14" i="9"/>
  <c r="O21" i="9" s="1"/>
  <c r="AC27" i="9" s="1"/>
  <c r="E14" i="9"/>
  <c r="E21" i="9" s="1"/>
  <c r="S27" i="9" s="1"/>
  <c r="D14" i="9"/>
  <c r="E9" i="9"/>
  <c r="F9" i="9"/>
  <c r="D9" i="9"/>
  <c r="L5" i="30" l="1"/>
  <c r="I13" i="30"/>
  <c r="I26" i="30"/>
  <c r="L6" i="30"/>
  <c r="L4" i="30"/>
  <c r="I8" i="30"/>
  <c r="K4" i="30"/>
  <c r="I4" i="30"/>
  <c r="K5" i="30"/>
  <c r="I14" i="30"/>
  <c r="K6" i="30"/>
  <c r="I24" i="30"/>
  <c r="N5" i="9"/>
  <c r="T5" i="9"/>
  <c r="U5" i="9"/>
  <c r="W5" i="9"/>
  <c r="V5" i="9"/>
  <c r="X5" i="9"/>
  <c r="R5" i="9"/>
  <c r="Y5" i="9"/>
  <c r="O5" i="9"/>
  <c r="S5" i="9"/>
  <c r="P5" i="9"/>
  <c r="Q5" i="9"/>
  <c r="N4" i="9"/>
  <c r="O4" i="9"/>
  <c r="P4" i="9"/>
  <c r="Q4" i="9"/>
  <c r="R4" i="9"/>
  <c r="S4" i="9"/>
  <c r="T4" i="9"/>
  <c r="U4" i="9"/>
  <c r="V4" i="9"/>
  <c r="W4" i="9"/>
  <c r="X4" i="9"/>
  <c r="Y4" i="9"/>
  <c r="N6" i="9"/>
  <c r="Y6" i="9"/>
  <c r="W6" i="9"/>
  <c r="O6" i="9"/>
  <c r="P6" i="9"/>
  <c r="V6" i="9"/>
  <c r="Q6" i="9"/>
  <c r="X6" i="9"/>
  <c r="R6" i="9"/>
  <c r="S6" i="9"/>
  <c r="T6" i="9"/>
  <c r="U6" i="9"/>
  <c r="S30" i="9"/>
  <c r="W30" i="9"/>
  <c r="X30" i="9"/>
  <c r="V30" i="9"/>
  <c r="U30" i="9"/>
  <c r="T30" i="9"/>
  <c r="Y30" i="9"/>
  <c r="L47" i="9"/>
  <c r="Z29" i="9" s="1"/>
  <c r="Z30" i="9" s="1"/>
  <c r="M47" i="9"/>
  <c r="AA29" i="9" s="1"/>
  <c r="AA30" i="9" s="1"/>
  <c r="N47" i="9"/>
  <c r="AB29" i="9" s="1"/>
  <c r="AB30" i="9" s="1"/>
  <c r="O47" i="9"/>
  <c r="AC29" i="9" s="1"/>
  <c r="AC30" i="9" s="1"/>
  <c r="D47" i="9"/>
  <c r="R29" i="9" s="1"/>
  <c r="D21" i="9"/>
  <c r="R27" i="9" s="1"/>
  <c r="R30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tc={6B13A07A-EC2B-4061-B2C4-D4F3D6A4EE62}</author>
    <author>tc={ACE27B78-B74B-4523-8659-893EEC5231E0}</author>
    <author>UNIMAGDALENA</author>
  </authors>
  <commentList>
    <comment ref="D4" authorId="0" shapeId="0" xr:uid="{6B13A07A-EC2B-4061-B2C4-D4F3D6A4EE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Dato promedio en la encuesta</t>
      </text>
    </comment>
    <comment ref="H6" authorId="1" shapeId="0" xr:uid="{ACE27B78-B74B-4523-8659-893EEC5231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Kw.h</t>
      </text>
    </comment>
    <comment ref="H8" authorId="2" shapeId="0" xr:uid="{F894E916-CB0A-444A-996D-4DC7CD824770}">
      <text>
        <r>
          <rPr>
            <b/>
            <sz val="9"/>
            <color indexed="81"/>
            <rFont val="Tahoma"/>
            <family val="2"/>
          </rPr>
          <t>UNIMAGDALENA:</t>
        </r>
        <r>
          <rPr>
            <sz val="9"/>
            <color indexed="81"/>
            <rFont val="Tahoma"/>
            <family val="2"/>
          </rPr>
          <t xml:space="preserve">
Comercializacion, empaque, bolsas, etc</t>
        </r>
      </text>
    </comment>
  </commentList>
</comments>
</file>

<file path=xl/sharedStrings.xml><?xml version="1.0" encoding="utf-8"?>
<sst xmlns="http://schemas.openxmlformats.org/spreadsheetml/2006/main" count="949" uniqueCount="473">
  <si>
    <t>CONTENIDO</t>
  </si>
  <si>
    <t xml:space="preserve">Conjuntos </t>
  </si>
  <si>
    <t>Costos</t>
  </si>
  <si>
    <t>Capacidades</t>
  </si>
  <si>
    <t xml:space="preserve">Demanda </t>
  </si>
  <si>
    <t>Costos de operación</t>
  </si>
  <si>
    <t>Costos de inventario</t>
  </si>
  <si>
    <t>Costos de produccion</t>
  </si>
  <si>
    <t>Costos de transporte</t>
  </si>
  <si>
    <t>CapAgricultor</t>
  </si>
  <si>
    <t>DemandaClie</t>
  </si>
  <si>
    <t>CostFijoOperDist</t>
  </si>
  <si>
    <t>CostInvDistri</t>
  </si>
  <si>
    <t>CostProdAgri</t>
  </si>
  <si>
    <t>CostTransAgriDistri</t>
  </si>
  <si>
    <t>CapAlmacenamientoDistri</t>
  </si>
  <si>
    <t>CostFijoOperMayo</t>
  </si>
  <si>
    <t>CostInvMayo</t>
  </si>
  <si>
    <t>CostTransAgriMayo</t>
  </si>
  <si>
    <t>CapAlmacenamientoMayo</t>
  </si>
  <si>
    <t>CostFijoOperMino</t>
  </si>
  <si>
    <t>CostInvMino</t>
  </si>
  <si>
    <t>CostTransAgriMino</t>
  </si>
  <si>
    <t>CapAlmacenamientoMino</t>
  </si>
  <si>
    <t>CostVarOperDist</t>
  </si>
  <si>
    <t>CostTransDistriMayo</t>
  </si>
  <si>
    <t>CostVarOperMayo</t>
  </si>
  <si>
    <t>CostTransDistriMino</t>
  </si>
  <si>
    <t>CostVarOperMino</t>
  </si>
  <si>
    <t>CostTransMayoMino</t>
  </si>
  <si>
    <t>CostTransMayoClie</t>
  </si>
  <si>
    <t>CostTransMinoClie</t>
  </si>
  <si>
    <t>Contenido</t>
  </si>
  <si>
    <t>Nombre de clientes</t>
  </si>
  <si>
    <t>Cliente_1</t>
  </si>
  <si>
    <t>Producto (p)</t>
  </si>
  <si>
    <t>Nombre del producto</t>
  </si>
  <si>
    <t>Producto_1</t>
  </si>
  <si>
    <t>Producto_2</t>
  </si>
  <si>
    <t>Periodos (t)</t>
  </si>
  <si>
    <t>t_1</t>
  </si>
  <si>
    <t>t_2</t>
  </si>
  <si>
    <t>t_3</t>
  </si>
  <si>
    <t>contenido</t>
  </si>
  <si>
    <t>Producto</t>
  </si>
  <si>
    <t>Producto_1.Cliente_1</t>
  </si>
  <si>
    <t>Producto_2.Cliente_1</t>
  </si>
  <si>
    <t>Productores (i)</t>
  </si>
  <si>
    <t>Productor_1</t>
  </si>
  <si>
    <t>Productor_2</t>
  </si>
  <si>
    <t>Productor_3</t>
  </si>
  <si>
    <t>Productor_4</t>
  </si>
  <si>
    <t>Productor_5</t>
  </si>
  <si>
    <t>Productor_6</t>
  </si>
  <si>
    <t>Productor_7</t>
  </si>
  <si>
    <t>Productor_8</t>
  </si>
  <si>
    <t>Productor_9</t>
  </si>
  <si>
    <t>Productor_10</t>
  </si>
  <si>
    <t>Productor_11</t>
  </si>
  <si>
    <t>Productor_12</t>
  </si>
  <si>
    <t>Productor_13</t>
  </si>
  <si>
    <t>Productor_14</t>
  </si>
  <si>
    <t>Productor_15</t>
  </si>
  <si>
    <t>Productor_16</t>
  </si>
  <si>
    <t>Productor_17</t>
  </si>
  <si>
    <t>Productor_18</t>
  </si>
  <si>
    <t>Productor_19</t>
  </si>
  <si>
    <t>Productor_20</t>
  </si>
  <si>
    <t>Productor_21</t>
  </si>
  <si>
    <t>Productor_22</t>
  </si>
  <si>
    <t>Productor_23</t>
  </si>
  <si>
    <t>Productor_24</t>
  </si>
  <si>
    <t>Centros Acopio (j)</t>
  </si>
  <si>
    <t>CentroAcopio_1</t>
  </si>
  <si>
    <t>CentroAcopio_2</t>
  </si>
  <si>
    <t>CentroAcopio_3</t>
  </si>
  <si>
    <t>Clientes (k)</t>
  </si>
  <si>
    <t>Queso duro</t>
  </si>
  <si>
    <t>Queso blando</t>
  </si>
  <si>
    <t>t_4</t>
  </si>
  <si>
    <t>t_5</t>
  </si>
  <si>
    <t>t_6</t>
  </si>
  <si>
    <t>t_7</t>
  </si>
  <si>
    <t>t_8</t>
  </si>
  <si>
    <t>t_9</t>
  </si>
  <si>
    <t>t_10</t>
  </si>
  <si>
    <t>t_11</t>
  </si>
  <si>
    <t>t_12</t>
  </si>
  <si>
    <t>Centro Acopio (j)</t>
  </si>
  <si>
    <t>Producto_1.CentroAcopio_1</t>
  </si>
  <si>
    <t>Producto_1.CentroAcopio_2</t>
  </si>
  <si>
    <t>Producto_1.CentroAcopio_3</t>
  </si>
  <si>
    <t>Producto_2.CentroAcopio_1</t>
  </si>
  <si>
    <t>Producto_2.CentroAcopio_2</t>
  </si>
  <si>
    <t>Producto_2.CentroAcopio_3</t>
  </si>
  <si>
    <t>Centro de Acopio (j)</t>
  </si>
  <si>
    <t>Producto_1.Productor_1.CentroAcopio_1</t>
  </si>
  <si>
    <t>Producto_1.Productor_1.CentroAcopio_2</t>
  </si>
  <si>
    <t>Producto_1.Productor_1.CentroAcopio_3</t>
  </si>
  <si>
    <t>Producto_1.Productor_2.CentroAcopio_1</t>
  </si>
  <si>
    <t>Producto_1.Productor_2.CentroAcopio_2</t>
  </si>
  <si>
    <t>Producto_1.Productor_2.CentroAcopio_3</t>
  </si>
  <si>
    <t>Producto_1.Productor_3.CentroAcopio_3</t>
  </si>
  <si>
    <t>Producto_1.Productor_3.CentroAcopio_1</t>
  </si>
  <si>
    <t>Producto_1.Productor_3.CentroAcopio_2</t>
  </si>
  <si>
    <t>Producto_1.Productor_4.CentroAcopio_1</t>
  </si>
  <si>
    <t>Producto_1.Productor_4.CentroAcopio_2</t>
  </si>
  <si>
    <t>Producto_1.Productor_4.CentroAcopio_3</t>
  </si>
  <si>
    <t>Producto_1.Productor_5.CentroAcopio_1</t>
  </si>
  <si>
    <t>Producto_1.Productor_5.CentroAcopio_2</t>
  </si>
  <si>
    <t>Producto_1.Productor_5.CentroAcopio_3</t>
  </si>
  <si>
    <t>Producto_2.Productor_1.CentroAcopio_1</t>
  </si>
  <si>
    <t>Producto_2.Productor_1.CentroAcopio_2</t>
  </si>
  <si>
    <t>Producto_2.Productor_1.CentroAcopio_3</t>
  </si>
  <si>
    <t>Producto_2.Productor_2.CentroAcopio_1</t>
  </si>
  <si>
    <t>Producto_2.Productor_2.CentroAcopio_2</t>
  </si>
  <si>
    <t>Producto_2.Productor_2.CentroAcopio_3</t>
  </si>
  <si>
    <t>Producto_2.Productor_3.CentroAcopio_1</t>
  </si>
  <si>
    <t>Producto_2.Productor_3.CentroAcopio_2</t>
  </si>
  <si>
    <t>Producto_2.Productor_3.CentroAcopio_3</t>
  </si>
  <si>
    <t>Producto_2.Productor_4.CentroAcopio_1</t>
  </si>
  <si>
    <t>Producto_2.Productor_4.CentroAcopio_2</t>
  </si>
  <si>
    <t>Producto_2.Productor_4.CentroAcopio_3</t>
  </si>
  <si>
    <t>Producto_2.Productor_5.CentroAcopio_1</t>
  </si>
  <si>
    <t>Producto_2.Productor_5.CentroAcopio_2</t>
  </si>
  <si>
    <t>Producto_2.Productor_5.CentroAcopio_3</t>
  </si>
  <si>
    <t>Producto_1.Productor_6.CentroAcopio_1</t>
  </si>
  <si>
    <t>Producto_1.Productor_6.CentroAcopio_2</t>
  </si>
  <si>
    <t>Producto_1.Productor_6.CentroAcopio_3</t>
  </si>
  <si>
    <t>Producto_1.Productor_7.CentroAcopio_1</t>
  </si>
  <si>
    <t>Producto_1.Productor_7.CentroAcopio_2</t>
  </si>
  <si>
    <t>Producto_1.Productor_7.CentroAcopio_3</t>
  </si>
  <si>
    <t>Producto_1.Productor_8.CentroAcopio_1</t>
  </si>
  <si>
    <t>Producto_1.Productor_8.CentroAcopio_2</t>
  </si>
  <si>
    <t>Producto_1.Productor_8.CentroAcopio_3</t>
  </si>
  <si>
    <t>Producto_1.Productor_9.CentroAcopio_1</t>
  </si>
  <si>
    <t>Producto_1.Productor_9.CentroAcopio_2</t>
  </si>
  <si>
    <t>Producto_1.Productor_9.CentroAcopio_3</t>
  </si>
  <si>
    <t>Producto_1.Productor_10.CentroAcopio_1</t>
  </si>
  <si>
    <t>Producto_1.Productor_10.CentroAcopio_2</t>
  </si>
  <si>
    <t>Producto_1.Productor_10.CentroAcopio_3</t>
  </si>
  <si>
    <t>Producto_1.Productor_11.CentroAcopio_1</t>
  </si>
  <si>
    <t>Producto_1.Productor_11.CentroAcopio_2</t>
  </si>
  <si>
    <t>Producto_1.Productor_11.CentroAcopio_3</t>
  </si>
  <si>
    <t>Producto_1.Productor_12.CentroAcopio_1</t>
  </si>
  <si>
    <t>Producto_1.Productor_12.CentroAcopio_2</t>
  </si>
  <si>
    <t>Producto_1.Productor_12.CentroAcopio_3</t>
  </si>
  <si>
    <t>Producto_1.Productor_13.CentroAcopio_1</t>
  </si>
  <si>
    <t>Producto_1.Productor_13.CentroAcopio_2</t>
  </si>
  <si>
    <t>Producto_1.Productor_13.CentroAcopio_3</t>
  </si>
  <si>
    <t>Producto_1.Productor_14.CentroAcopio_1</t>
  </si>
  <si>
    <t>Producto_1.Productor_14.CentroAcopio_2</t>
  </si>
  <si>
    <t>Producto_1.Productor_14.CentroAcopio_3</t>
  </si>
  <si>
    <t>Producto_1.Productor_15.CentroAcopio_1</t>
  </si>
  <si>
    <t>Producto_1.Productor_15.CentroAcopio_2</t>
  </si>
  <si>
    <t>Producto_1.Productor_15.CentroAcopio_3</t>
  </si>
  <si>
    <t>Producto_1.Productor_16.CentroAcopio_1</t>
  </si>
  <si>
    <t>Producto_1.Productor_16.CentroAcopio_2</t>
  </si>
  <si>
    <t>Producto_1.Productor_16.CentroAcopio_3</t>
  </si>
  <si>
    <t>Producto_1.Productor_17.CentroAcopio_1</t>
  </si>
  <si>
    <t>Producto_1.Productor_17.CentroAcopio_2</t>
  </si>
  <si>
    <t>Producto_1.Productor_17.CentroAcopio_3</t>
  </si>
  <si>
    <t>Producto_1.Productor_18.CentroAcopio_1</t>
  </si>
  <si>
    <t>Producto_1.Productor_18.CentroAcopio_2</t>
  </si>
  <si>
    <t>Producto_1.Productor_18.CentroAcopio_3</t>
  </si>
  <si>
    <t>Producto_1.Productor_19.CentroAcopio_1</t>
  </si>
  <si>
    <t>Producto_1.Productor_19.CentroAcopio_2</t>
  </si>
  <si>
    <t>Producto_1.Productor_19.CentroAcopio_3</t>
  </si>
  <si>
    <t>Producto_1.Productor_20.CentroAcopio_1</t>
  </si>
  <si>
    <t>Producto_1.Productor_20.CentroAcopio_2</t>
  </si>
  <si>
    <t>Producto_1.Productor_20.CentroAcopio_3</t>
  </si>
  <si>
    <t>Producto_1.Productor_21.CentroAcopio_1</t>
  </si>
  <si>
    <t>Producto_1.Productor_21.CentroAcopio_2</t>
  </si>
  <si>
    <t>Producto_1.Productor_21.CentroAcopio_3</t>
  </si>
  <si>
    <t>Producto_1.Productor_22.CentroAcopio_1</t>
  </si>
  <si>
    <t>Producto_1.Productor_22.CentroAcopio_2</t>
  </si>
  <si>
    <t>Producto_1.Productor_22.CentroAcopio_3</t>
  </si>
  <si>
    <t>Producto_1.Productor_23.CentroAcopio_1</t>
  </si>
  <si>
    <t>Producto_1.Productor_23.CentroAcopio_2</t>
  </si>
  <si>
    <t>Producto_1.Productor_23.CentroAcopio_3</t>
  </si>
  <si>
    <t>Producto_1.Productor_24.CentroAcopio_1</t>
  </si>
  <si>
    <t>Producto_1.Productor_24.CentroAcopio_2</t>
  </si>
  <si>
    <t>Producto_1.Productor_24.CentroAcopio_3</t>
  </si>
  <si>
    <t>Producto_2.Productor_6.CentroAcopio_1</t>
  </si>
  <si>
    <t>Producto_2.Productor_6.CentroAcopio_2</t>
  </si>
  <si>
    <t>Producto_2.Productor_6.CentroAcopio_3</t>
  </si>
  <si>
    <t>Producto_2.Productor_7.CentroAcopio_1</t>
  </si>
  <si>
    <t>Producto_2.Productor_7.CentroAcopio_2</t>
  </si>
  <si>
    <t>Producto_2.Productor_7.CentroAcopio_3</t>
  </si>
  <si>
    <t>Producto_2.Productor_8.CentroAcopio_1</t>
  </si>
  <si>
    <t>Producto_2.Productor_8.CentroAcopio_2</t>
  </si>
  <si>
    <t>Producto_2.Productor_8.CentroAcopio_3</t>
  </si>
  <si>
    <t>Producto_2.Productor_9.CentroAcopio_1</t>
  </si>
  <si>
    <t>Producto_2.Productor_9.CentroAcopio_2</t>
  </si>
  <si>
    <t>Producto_2.Productor_9.CentroAcopio_3</t>
  </si>
  <si>
    <t>Producto_2.Productor_10.CentroAcopio_1</t>
  </si>
  <si>
    <t>Producto_2.Productor_10.CentroAcopio_2</t>
  </si>
  <si>
    <t>Producto_2.Productor_10.CentroAcopio_3</t>
  </si>
  <si>
    <t>Producto_2.Productor_11.CentroAcopio_1</t>
  </si>
  <si>
    <t>Producto_2.Productor_11.CentroAcopio_2</t>
  </si>
  <si>
    <t>Producto_2.Productor_11.CentroAcopio_3</t>
  </si>
  <si>
    <t>Producto_2.Productor_12.CentroAcopio_1</t>
  </si>
  <si>
    <t>Producto_2.Productor_12.CentroAcopio_2</t>
  </si>
  <si>
    <t>Producto_2.Productor_12.CentroAcopio_3</t>
  </si>
  <si>
    <t>Producto_2.Productor_13.CentroAcopio_1</t>
  </si>
  <si>
    <t>Producto_2.Productor_13.CentroAcopio_2</t>
  </si>
  <si>
    <t>Producto_2.Productor_13.CentroAcopio_3</t>
  </si>
  <si>
    <t>Producto_2.Productor_14.CentroAcopio_1</t>
  </si>
  <si>
    <t>Producto_2.Productor_14.CentroAcopio_2</t>
  </si>
  <si>
    <t>Producto_2.Productor_14.CentroAcopio_3</t>
  </si>
  <si>
    <t>Producto_2.Productor_15.CentroAcopio_1</t>
  </si>
  <si>
    <t>Producto_2.Productor_15.CentroAcopio_2</t>
  </si>
  <si>
    <t>Producto_2.Productor_15.CentroAcopio_3</t>
  </si>
  <si>
    <t>Producto_2.Productor_16.CentroAcopio_1</t>
  </si>
  <si>
    <t>Producto_2.Productor_16.CentroAcopio_2</t>
  </si>
  <si>
    <t>Producto_2.Productor_16.CentroAcopio_3</t>
  </si>
  <si>
    <t>Producto_2.Productor_17.CentroAcopio_1</t>
  </si>
  <si>
    <t>Producto_2.Productor_17.CentroAcopio_2</t>
  </si>
  <si>
    <t>Producto_2.Productor_17.CentroAcopio_3</t>
  </si>
  <si>
    <t>Producto_2.Productor_18.CentroAcopio_1</t>
  </si>
  <si>
    <t>Producto_2.Productor_18.CentroAcopio_2</t>
  </si>
  <si>
    <t>Producto_2.Productor_18.CentroAcopio_3</t>
  </si>
  <si>
    <t>Producto_2.Productor_19.CentroAcopio_1</t>
  </si>
  <si>
    <t>Producto_2.Productor_19.CentroAcopio_2</t>
  </si>
  <si>
    <t>Producto_2.Productor_19.CentroAcopio_3</t>
  </si>
  <si>
    <t>Producto_2.Productor_20.CentroAcopio_1</t>
  </si>
  <si>
    <t>Producto_2.Productor_20.CentroAcopio_2</t>
  </si>
  <si>
    <t>Producto_2.Productor_20.CentroAcopio_3</t>
  </si>
  <si>
    <t>Producto_2.Productor_21.CentroAcopio_1</t>
  </si>
  <si>
    <t>Producto_2.Productor_21.CentroAcopio_2</t>
  </si>
  <si>
    <t>Producto_2.Productor_21.CentroAcopio_3</t>
  </si>
  <si>
    <t>Producto_2.Productor_22.CentroAcopio_1</t>
  </si>
  <si>
    <t>Producto_2.Productor_22.CentroAcopio_2</t>
  </si>
  <si>
    <t>Producto_2.Productor_22.CentroAcopio_3</t>
  </si>
  <si>
    <t>Producto_2.Productor_23.CentroAcopio_1</t>
  </si>
  <si>
    <t>Producto_2.Productor_23.CentroAcopio_2</t>
  </si>
  <si>
    <t>Producto_2.Productor_23.CentroAcopio_3</t>
  </si>
  <si>
    <t>Producto_2.Productor_24.CentroAcopio_1</t>
  </si>
  <si>
    <t>Producto_2.Productor_24.CentroAcopio_2</t>
  </si>
  <si>
    <t>Producto_2.Productor_24.CentroAcopio_3</t>
  </si>
  <si>
    <t>Producto_1.CentroAcopio_1.Cliente_1</t>
  </si>
  <si>
    <t>Producto_1.CentroAcopio_2.Cliente_1</t>
  </si>
  <si>
    <t>Producto_1.CentroAcopio_3.Cliente_1</t>
  </si>
  <si>
    <t>Producto_2.CentroAcopio_1.Cliente_1</t>
  </si>
  <si>
    <t>Producto_2.CentroAcopio_2.Cliente_1</t>
  </si>
  <si>
    <t>Producto_2.CentroAcopio_3.Cliente_1</t>
  </si>
  <si>
    <t>Costo de transporte del producto p desde el centro acopio j hasta el cliente k en el periodo de tiempo t (p,j,k,t) [$/kg]</t>
  </si>
  <si>
    <t>Productores</t>
  </si>
  <si>
    <t>Clientes</t>
  </si>
  <si>
    <t>Productos</t>
  </si>
  <si>
    <t xml:space="preserve">Tiempo </t>
  </si>
  <si>
    <t>CAcopio</t>
  </si>
  <si>
    <t xml:space="preserve">Nombre del productor </t>
  </si>
  <si>
    <t>Municipio</t>
  </si>
  <si>
    <t xml:space="preserve">Zonas de los centros de acopio </t>
  </si>
  <si>
    <t>Zona sur</t>
  </si>
  <si>
    <t>Zona norte</t>
  </si>
  <si>
    <t xml:space="preserve">Zona centro </t>
  </si>
  <si>
    <t>Acopio plataforma E-Commerce</t>
  </si>
  <si>
    <t>Luis Galvis Navarro</t>
  </si>
  <si>
    <t>EL BANCO</t>
  </si>
  <si>
    <t>NATALIA VILLA</t>
  </si>
  <si>
    <t>Julia Meza Garay</t>
  </si>
  <si>
    <t>CELEN PEREZ</t>
  </si>
  <si>
    <t>GUAMAL</t>
  </si>
  <si>
    <t>JAIDER DARIO TOLOOZA DAZA</t>
  </si>
  <si>
    <t>ASTRID ARTEAGA GARRIDO</t>
  </si>
  <si>
    <t>OCTAVIO JARA</t>
  </si>
  <si>
    <t>JAIME ARANGO</t>
  </si>
  <si>
    <t>LUZ ESTELA FERNANDEZ DIAZ</t>
  </si>
  <si>
    <t>NUEVA GRANADA</t>
  </si>
  <si>
    <t>KELLY RESTREPO PEREZ</t>
  </si>
  <si>
    <t>JAVIER DAVID OSPINO MOJICA</t>
  </si>
  <si>
    <t>LAUL ESPINOSA</t>
  </si>
  <si>
    <t>JUAN DIAZ</t>
  </si>
  <si>
    <t>LEANDRO MANUEL MUÑOZ MORALES</t>
  </si>
  <si>
    <t>JAVIER BERNAL</t>
  </si>
  <si>
    <t>JHON JAIRO VERGARA</t>
  </si>
  <si>
    <t>PIVIJAY</t>
  </si>
  <si>
    <t>IVAN RADA</t>
  </si>
  <si>
    <t>ARTURO CARBACHO</t>
  </si>
  <si>
    <t>MANUEL ESPAÑA DIAZ</t>
  </si>
  <si>
    <t>PLATO</t>
  </si>
  <si>
    <t>SEBASTIAN BOTERO</t>
  </si>
  <si>
    <t>JANER TORRES</t>
  </si>
  <si>
    <t>JHONNY MANUEL VISBAL NIETO</t>
  </si>
  <si>
    <t>LUIS ALBERTO TREJO DE ANGEL</t>
  </si>
  <si>
    <t>JUAN FELIPE JURMAY</t>
  </si>
  <si>
    <t>SANTA ANA</t>
  </si>
  <si>
    <t>Costo Fijo de operacion del centro de acopio j en el periodo de tiempo t (j,t) [$]</t>
  </si>
  <si>
    <t>Producto_1.Productor_1</t>
  </si>
  <si>
    <t>Producto_1.Productor_2</t>
  </si>
  <si>
    <t>Producto_1.Productor_3</t>
  </si>
  <si>
    <t>Producto_1.Productor_4</t>
  </si>
  <si>
    <t>Producto_1.Productor_5</t>
  </si>
  <si>
    <t>Producto_1.Productor_6</t>
  </si>
  <si>
    <t>Producto_1.Productor_7</t>
  </si>
  <si>
    <t>Producto_1.Productor_8</t>
  </si>
  <si>
    <t>Producto_1.Productor_9</t>
  </si>
  <si>
    <t>Producto_1.Productor_10</t>
  </si>
  <si>
    <t>Producto_1.Productor_11</t>
  </si>
  <si>
    <t>Producto_1.Productor_12</t>
  </si>
  <si>
    <t>Producto_1.Productor_13</t>
  </si>
  <si>
    <t>Producto_1.Productor_14</t>
  </si>
  <si>
    <t>Producto_1.Productor_15</t>
  </si>
  <si>
    <t>Producto_1.Productor_16</t>
  </si>
  <si>
    <t>Producto_1.Productor_17</t>
  </si>
  <si>
    <t>Producto_1.Productor_18</t>
  </si>
  <si>
    <t>Producto_1.Productor_19</t>
  </si>
  <si>
    <t>Producto_1.Productor_20</t>
  </si>
  <si>
    <t>Producto_1.Productor_21</t>
  </si>
  <si>
    <t>Producto_1.Productor_22</t>
  </si>
  <si>
    <t>Producto_1.Productor_23</t>
  </si>
  <si>
    <t>Producto_1.Productor_24</t>
  </si>
  <si>
    <t>Producto_2.Productor_1</t>
  </si>
  <si>
    <t>Producto_2.Productor_2</t>
  </si>
  <si>
    <t>Producto_2.Productor_3</t>
  </si>
  <si>
    <t>Producto_2.Productor_4</t>
  </si>
  <si>
    <t>Producto_2.Productor_5</t>
  </si>
  <si>
    <t>Producto_2.Productor_6</t>
  </si>
  <si>
    <t>Producto_2.Productor_7</t>
  </si>
  <si>
    <t>Producto_2.Productor_8</t>
  </si>
  <si>
    <t>Producto_2.Productor_9</t>
  </si>
  <si>
    <t>Producto_2.Productor_10</t>
  </si>
  <si>
    <t>Producto_2.Productor_11</t>
  </si>
  <si>
    <t>Producto_2.Productor_12</t>
  </si>
  <si>
    <t>Producto_2.Productor_13</t>
  </si>
  <si>
    <t>Producto_2.Productor_14</t>
  </si>
  <si>
    <t>Producto_2.Productor_15</t>
  </si>
  <si>
    <t>Producto_2.Productor_16</t>
  </si>
  <si>
    <t>Producto_2.Productor_17</t>
  </si>
  <si>
    <t>Producto_2.Productor_18</t>
  </si>
  <si>
    <t>Producto_2.Productor_19</t>
  </si>
  <si>
    <t>Producto_2.Productor_20</t>
  </si>
  <si>
    <t>Producto_2.Productor_21</t>
  </si>
  <si>
    <t>Producto_2.Productor_22</t>
  </si>
  <si>
    <t>Producto_2.Productor_23</t>
  </si>
  <si>
    <t>Producto_2.Productor_24</t>
  </si>
  <si>
    <t>CentroAcopio_1.Producto_1</t>
  </si>
  <si>
    <t>CentroAcopio_1.Producto_2</t>
  </si>
  <si>
    <t>CentroAcopio_2.Producto_1</t>
  </si>
  <si>
    <t>CentroAcopio_2.Producto_2</t>
  </si>
  <si>
    <t>CentroAcopio_3.Producto_1</t>
  </si>
  <si>
    <t>CentroAcopio_3.Producto_2</t>
  </si>
  <si>
    <t>CALCULO DE COSTOS</t>
  </si>
  <si>
    <t xml:space="preserve">Arrendamiento </t>
  </si>
  <si>
    <t>servicios publicos</t>
  </si>
  <si>
    <t>Mano de obra</t>
  </si>
  <si>
    <t xml:space="preserve">Gastos administrativos </t>
  </si>
  <si>
    <t>Zona centro</t>
  </si>
  <si>
    <t xml:space="preserve">Zona norte </t>
  </si>
  <si>
    <t xml:space="preserve">Total Costos </t>
  </si>
  <si>
    <t xml:space="preserve">FIJOS CENTRO DE ACOPIO </t>
  </si>
  <si>
    <t xml:space="preserve">VARIABLESCENTRO DE ACOPIO </t>
  </si>
  <si>
    <t>Leche</t>
  </si>
  <si>
    <t>Cuajo</t>
  </si>
  <si>
    <t>Sal</t>
  </si>
  <si>
    <t>Energia electrica</t>
  </si>
  <si>
    <t>Envases</t>
  </si>
  <si>
    <t xml:space="preserve">Otros insumos </t>
  </si>
  <si>
    <t>Total</t>
  </si>
  <si>
    <t>Meses</t>
  </si>
  <si>
    <t>Departamentos</t>
  </si>
  <si>
    <t>Magdalena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</si>
  <si>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</si>
  <si>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</si>
  <si>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</si>
  <si>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</si>
  <si>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</si>
  <si>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</si>
  <si>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</si>
  <si>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</si>
  <si>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</si>
  <si>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</si>
  <si>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</si>
  <si>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PRECIOS POR LITRO DE LECHE PAGADOS AL PRODUCTOR </t>
  </si>
  <si>
    <t>Enero</t>
  </si>
  <si>
    <t>Costo kg</t>
  </si>
  <si>
    <t>Concepto/Precio de leche</t>
  </si>
  <si>
    <t xml:space="preserve">Zona sur </t>
  </si>
  <si>
    <t>Zona Centro</t>
  </si>
  <si>
    <t>Zona Norte</t>
  </si>
  <si>
    <t>COSTOS  PRODUCCION</t>
  </si>
  <si>
    <t>COSTOS PRODUCCION</t>
  </si>
  <si>
    <t>KG/DIA QUESO DURO</t>
  </si>
  <si>
    <t>KG/DIA QUESO BLANDO</t>
  </si>
  <si>
    <t>KG/MES QUESO DURO</t>
  </si>
  <si>
    <t>KG/MES QUESO BLANDO</t>
  </si>
  <si>
    <t>capacidad de almacenamiento del productor i  para el producto p en el periodo de tiempo t CapProductores(p,i,t)  [kg]</t>
  </si>
  <si>
    <t>sur</t>
  </si>
  <si>
    <t>centro</t>
  </si>
  <si>
    <t>norte</t>
  </si>
  <si>
    <t>Zona</t>
  </si>
  <si>
    <t>Costo de produccion del producto p  en  el productor i para el periodo de tiempo t  CostoProduccion (p,i,t) [$/kg]</t>
  </si>
  <si>
    <t>Costo variable  de operacion del centro de acopio j en el periodo de tiempo t CostoVarAcopio (p,j,t) [$/kg]</t>
  </si>
  <si>
    <t>Costo de inventario por unidad del producto p en el centro de acopio j en el periodo de tiempo t  CostoInvAcopio (p,j,t)  [$/kg]</t>
  </si>
  <si>
    <t>Costo de transporte del producto p desde el productor i hasta el centro de acopio j en el periodo de tiempo t  CostoTransProdAcopio(p,i,j,t) [$/kg]</t>
  </si>
  <si>
    <t>M=</t>
  </si>
  <si>
    <t>capacidad de almacenamiento del centro de acopio j para el producto p en el periodo de tiempo t CapAcopio(j,p,t)  [kg]</t>
  </si>
  <si>
    <t>Demanda del producto p en el cliente k para el periodo de tiempo t DemandaClie(p,k,t)  [kg]</t>
  </si>
  <si>
    <t>Origen</t>
  </si>
  <si>
    <t>Ariguaní</t>
  </si>
  <si>
    <t>Guamal</t>
  </si>
  <si>
    <t>Santa Ana</t>
  </si>
  <si>
    <t>San Sebastián</t>
  </si>
  <si>
    <t>Plato</t>
  </si>
  <si>
    <t>Pivijay</t>
  </si>
  <si>
    <t>Sitio Nuevo</t>
  </si>
  <si>
    <t>El Piñón</t>
  </si>
  <si>
    <t>Zona Bananera</t>
  </si>
  <si>
    <t>Santa Marta</t>
  </si>
  <si>
    <t>Cienaga</t>
  </si>
  <si>
    <t>Distancia Km</t>
  </si>
  <si>
    <t>Destino</t>
  </si>
  <si>
    <t>Distancia (km)</t>
  </si>
  <si>
    <t>Costo por tonelada</t>
  </si>
  <si>
    <t>-</t>
  </si>
  <si>
    <t>Promedio</t>
  </si>
  <si>
    <t>Rango distancia</t>
  </si>
  <si>
    <t>min</t>
  </si>
  <si>
    <t>max</t>
  </si>
  <si>
    <t xml:space="preserve">costo </t>
  </si>
  <si>
    <t>Valor Km</t>
  </si>
  <si>
    <t>$ de viaje en km</t>
  </si>
  <si>
    <t>cuarto frio (mantenimiento)</t>
  </si>
  <si>
    <t>Costos de Energía</t>
  </si>
  <si>
    <t>Salarios del Personal</t>
  </si>
  <si>
    <t>Otros Costos Variables</t>
  </si>
  <si>
    <t>Costos Fijos Cacopio</t>
  </si>
  <si>
    <t>Costo de inventario</t>
  </si>
  <si>
    <t>Ubicación</t>
  </si>
  <si>
    <t>Nueva granada</t>
  </si>
  <si>
    <t>El banco</t>
  </si>
  <si>
    <t xml:space="preserve">Santa Ana </t>
  </si>
  <si>
    <t>Nueva Granada</t>
  </si>
  <si>
    <t xml:space="preserve">Plato </t>
  </si>
  <si>
    <t>El banco (zona rural)</t>
  </si>
  <si>
    <t>Pivijay (zona rural)</t>
  </si>
  <si>
    <t>Nueva granada (zona rural)</t>
  </si>
  <si>
    <t>Min Transporte</t>
  </si>
  <si>
    <t>SICE-TAC</t>
  </si>
  <si>
    <t>Costo por km</t>
  </si>
  <si>
    <t>$/ton</t>
  </si>
  <si>
    <t>$/kg</t>
  </si>
  <si>
    <t xml:space="preserve">El banco </t>
  </si>
  <si>
    <t>Guamal (zona rural)</t>
  </si>
  <si>
    <t>Nueva Granda</t>
  </si>
  <si>
    <t>Precio ton</t>
  </si>
  <si>
    <t>Precio de flete</t>
  </si>
  <si>
    <t>Periodo 1</t>
  </si>
  <si>
    <t>Periodo 2</t>
  </si>
  <si>
    <t>Periodo 3</t>
  </si>
  <si>
    <t>Periodo 4</t>
  </si>
  <si>
    <t>Periodo 5</t>
  </si>
  <si>
    <t>Periodo 6</t>
  </si>
  <si>
    <t>Periodo 7</t>
  </si>
  <si>
    <t>Periodo 8</t>
  </si>
  <si>
    <t>Periodo 9</t>
  </si>
  <si>
    <t>Periodo 10</t>
  </si>
  <si>
    <t>Periodo 11</t>
  </si>
  <si>
    <t>Periodo 12</t>
  </si>
  <si>
    <t>Demanda (Mark)</t>
  </si>
  <si>
    <t>Precio de la leche</t>
  </si>
  <si>
    <t>34.1.1 Cantidad de abastecimiento - Queso costeño duro (Kg)</t>
  </si>
  <si>
    <t>34.2.1 Cantidad de abastecimiento - Queso costeño semiduro (Kg)</t>
  </si>
  <si>
    <t>34.3.1 Cantidad de abastecimiento - Queso costeño blando (Kg)</t>
  </si>
  <si>
    <t>34.4.1 Cantidad de abastecimiento - Queso costeño semiblando (Kg)</t>
  </si>
  <si>
    <t>35.1.1 Cantidad de abastecimiento - Queso costeño duro (Kg)</t>
  </si>
  <si>
    <t>35.2.1 Cantidad de abastecimiento - Queso costeño semiduro (Kg)</t>
  </si>
  <si>
    <t>35.3.1 Cantidad de abastecimiento - Queso costeño blando (Kg)</t>
  </si>
  <si>
    <t>35.4.1 Cantidad de abastecimiento - Queso costeño semiblando (Kg)</t>
  </si>
  <si>
    <t>QUESO COSTEÑO DURO</t>
  </si>
  <si>
    <t>QUESO COSTEÑO BLANDO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</si>
</sst>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\ * #,##0.00_);_(&quot;$&quot;\ * \(#,##0.00\);_(&quot;$&quot;\ 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3"/>
      <name val="Calibri Light"/>
      <family val="2"/>
      <scheme val="major"/>
    </font>
    <font>
      <u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00"/>
        <bgColor rgb="FFFF9900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0" fontId="11" fillId="0" borderId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5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3" fillId="0" borderId="0" xfId="1"/>
    <xf numFmtId="0" fontId="0" fillId="0" borderId="4" xfId="0" applyBorder="1"/>
    <xf numFmtId="0" fontId="3" fillId="0" borderId="0" xfId="1" applyBorder="1"/>
    <xf numFmtId="0" fontId="3" fillId="0" borderId="0" xfId="1" applyFill="1" applyBorder="1"/>
    <xf numFmtId="0" fontId="5" fillId="2" borderId="0" xfId="1" applyFont="1" applyFill="1"/>
    <xf numFmtId="0" fontId="5" fillId="2" borderId="0" xfId="1" applyFont="1" applyFill="1" applyBorder="1"/>
    <xf numFmtId="0" fontId="5" fillId="3" borderId="0" xfId="1" applyFont="1" applyFill="1" applyBorder="1"/>
    <xf numFmtId="0" fontId="5" fillId="4" borderId="0" xfId="1" applyFont="1" applyFill="1"/>
    <xf numFmtId="0" fontId="4" fillId="0" borderId="0" xfId="2"/>
    <xf numFmtId="0" fontId="3" fillId="0" borderId="0" xfId="1" applyFill="1"/>
    <xf numFmtId="0" fontId="5" fillId="5" borderId="0" xfId="1" applyFont="1" applyFill="1"/>
    <xf numFmtId="1" fontId="0" fillId="0" borderId="0" xfId="0" applyNumberFormat="1"/>
    <xf numFmtId="1" fontId="0" fillId="0" borderId="1" xfId="0" applyNumberFormat="1" applyBorder="1"/>
    <xf numFmtId="0" fontId="5" fillId="6" borderId="0" xfId="1" applyFont="1" applyFill="1"/>
    <xf numFmtId="0" fontId="6" fillId="7" borderId="5" xfId="0" applyFont="1" applyFill="1" applyBorder="1"/>
    <xf numFmtId="0" fontId="6" fillId="7" borderId="6" xfId="0" applyFont="1" applyFill="1" applyBorder="1"/>
    <xf numFmtId="0" fontId="0" fillId="8" borderId="1" xfId="0" applyFill="1" applyBorder="1"/>
    <xf numFmtId="0" fontId="0" fillId="8" borderId="5" xfId="0" applyFill="1" applyBorder="1"/>
    <xf numFmtId="0" fontId="6" fillId="7" borderId="0" xfId="0" applyFont="1" applyFill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7" fillId="0" borderId="0" xfId="0" applyFont="1" applyAlignment="1">
      <alignment wrapText="1"/>
    </xf>
    <xf numFmtId="49" fontId="0" fillId="0" borderId="0" xfId="0" applyNumberFormat="1"/>
    <xf numFmtId="0" fontId="7" fillId="0" borderId="0" xfId="0" applyFont="1"/>
    <xf numFmtId="0" fontId="1" fillId="0" borderId="4" xfId="0" applyFont="1" applyBorder="1"/>
    <xf numFmtId="0" fontId="0" fillId="0" borderId="2" xfId="0" applyBorder="1"/>
    <xf numFmtId="0" fontId="0" fillId="0" borderId="3" xfId="0" applyBorder="1"/>
    <xf numFmtId="0" fontId="1" fillId="0" borderId="7" xfId="0" applyFont="1" applyBorder="1"/>
    <xf numFmtId="0" fontId="0" fillId="0" borderId="5" xfId="0" applyBorder="1"/>
    <xf numFmtId="0" fontId="0" fillId="9" borderId="0" xfId="0" applyFill="1"/>
    <xf numFmtId="0" fontId="0" fillId="10" borderId="8" xfId="0" applyFill="1" applyBorder="1"/>
    <xf numFmtId="0" fontId="6" fillId="10" borderId="8" xfId="0" applyFont="1" applyFill="1" applyBorder="1"/>
    <xf numFmtId="3" fontId="0" fillId="0" borderId="1" xfId="0" applyNumberFormat="1" applyBorder="1"/>
    <xf numFmtId="0" fontId="1" fillId="11" borderId="1" xfId="0" applyFont="1" applyFill="1" applyBorder="1"/>
    <xf numFmtId="44" fontId="0" fillId="0" borderId="0" xfId="10" applyFont="1"/>
    <xf numFmtId="0" fontId="12" fillId="12" borderId="9" xfId="0" applyFont="1" applyFill="1" applyBorder="1" applyAlignment="1">
      <alignment horizontal="left" vertical="center"/>
    </xf>
    <xf numFmtId="0" fontId="12" fillId="12" borderId="0" xfId="0" applyFont="1" applyFill="1" applyAlignment="1">
      <alignment horizontal="left" vertical="center"/>
    </xf>
    <xf numFmtId="0" fontId="13" fillId="13" borderId="9" xfId="0" applyFont="1" applyFill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44" fontId="0" fillId="0" borderId="1" xfId="10" applyFont="1" applyBorder="1"/>
    <xf numFmtId="0" fontId="0" fillId="9" borderId="1" xfId="0" applyFill="1" applyBorder="1"/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1">
    <cellStyle name="Hipervínculo" xfId="1" builtinId="8"/>
    <cellStyle name="Millares 2" xfId="9" xr:uid="{7D02147C-92D3-482F-8512-A97899EB7479}"/>
    <cellStyle name="Moneda" xfId="10" builtinId="4"/>
    <cellStyle name="Moneda [0] 2" xfId="6" xr:uid="{DE4315D5-7BA2-4612-BBF0-93B4DA4AE040}"/>
    <cellStyle name="Moneda 2" xfId="8" xr:uid="{06AB1953-F7A4-4EC4-A5F1-0535B1E2C0C8}"/>
    <cellStyle name="Moneda 3" xfId="4" xr:uid="{F8C2C617-C0EE-4EBA-9EAE-F24D1729F446}"/>
    <cellStyle name="Moneda 4" xfId="3" xr:uid="{A339A050-BA63-4C9D-A844-6429EC151E71}"/>
    <cellStyle name="Moneda 5" xfId="5" xr:uid="{8BEEC14D-E07C-47D9-B23E-953B841B7166}"/>
    <cellStyle name="Normal" xfId="0" builtinId="0"/>
    <cellStyle name="Normal 2" xfId="7" xr:uid="{5E72E812-59FD-4CAF-8260-1DD65D66A807}"/>
    <cellStyle name="Título" xfId="2" builtinId="15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770964</xdr:colOff>
      <xdr:row>14</xdr:row>
      <xdr:rowOff>10085</xdr:rowOff>
    </xdr:from>
    <xdr:to>
      <xdr:col>9</xdr:col>
      <xdr:colOff>515470</xdr:colOff>
      <xdr:row>15</xdr:row>
      <xdr:rowOff>29359</xdr:rowOff>
    </xdr:to>
    <xdr:sp macro="" textlink="">
      <xdr:nvSpPr>
        <xdr:cNvPr id="313" name="CuadroTexto 4">
          <a:extLst>
            <a:ext uri="{FF2B5EF4-FFF2-40B4-BE49-F238E27FC236}">
              <a16:creationId xmlns:a16="http://schemas.microsoft.com/office/drawing/2014/main" id="{326AD845-5B2A-4DEB-88AA-162CE990D4C4}"/>
            </a:ext>
          </a:extLst>
        </xdr:cNvPr>
        <xdr:cNvSpPr txBox="1"/>
      </xdr:nvSpPr>
      <xdr:spPr>
        <a:xfrm>
          <a:off x="7655858" y="2636744"/>
          <a:ext cx="1878106" cy="1985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Productores (i)</a:t>
          </a:r>
        </a:p>
      </xdr:txBody>
    </xdr:sp>
    <xdr:clientData/>
  </xdr:twoCellAnchor>
  <xdr:twoCellAnchor>
    <xdr:from>
      <xdr:col>10</xdr:col>
      <xdr:colOff>46056</xdr:colOff>
      <xdr:row>14</xdr:row>
      <xdr:rowOff>8741</xdr:rowOff>
    </xdr:from>
    <xdr:to>
      <xdr:col>12</xdr:col>
      <xdr:colOff>15240</xdr:colOff>
      <xdr:row>15</xdr:row>
      <xdr:rowOff>22860</xdr:rowOff>
    </xdr:to>
    <xdr:sp macro="" textlink="">
      <xdr:nvSpPr>
        <xdr:cNvPr id="312" name="CuadroTexto 4">
          <a:extLst>
            <a:ext uri="{FF2B5EF4-FFF2-40B4-BE49-F238E27FC236}">
              <a16:creationId xmlns:a16="http://schemas.microsoft.com/office/drawing/2014/main" id="{DF21EA69-AC9E-4452-AD1E-7BA2E971FC4C}"/>
            </a:ext>
          </a:extLst>
        </xdr:cNvPr>
        <xdr:cNvSpPr txBox="1"/>
      </xdr:nvSpPr>
      <xdr:spPr>
        <a:xfrm>
          <a:off x="9830136" y="2683361"/>
          <a:ext cx="1538904" cy="196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Centros</a:t>
          </a:r>
          <a:r>
            <a:rPr lang="es-CO" sz="1100" baseline="0"/>
            <a:t> de acopio</a:t>
          </a:r>
          <a:r>
            <a:rPr lang="es-CO" sz="1100"/>
            <a:t> (j)</a:t>
          </a:r>
        </a:p>
      </xdr:txBody>
    </xdr:sp>
    <xdr:clientData/>
  </xdr:twoCellAnchor>
  <xdr:twoCellAnchor>
    <xdr:from>
      <xdr:col>12</xdr:col>
      <xdr:colOff>418540</xdr:colOff>
      <xdr:row>14</xdr:row>
      <xdr:rowOff>11430</xdr:rowOff>
    </xdr:from>
    <xdr:to>
      <xdr:col>14</xdr:col>
      <xdr:colOff>159460</xdr:colOff>
      <xdr:row>15</xdr:row>
      <xdr:rowOff>30704</xdr:rowOff>
    </xdr:to>
    <xdr:sp macro="" textlink="">
      <xdr:nvSpPr>
        <xdr:cNvPr id="311" name="CuadroTexto 4">
          <a:extLst>
            <a:ext uri="{FF2B5EF4-FFF2-40B4-BE49-F238E27FC236}">
              <a16:creationId xmlns:a16="http://schemas.microsoft.com/office/drawing/2014/main" id="{EC3E2476-1453-477A-994A-C977EADC9AB4}"/>
            </a:ext>
          </a:extLst>
        </xdr:cNvPr>
        <xdr:cNvSpPr txBox="1"/>
      </xdr:nvSpPr>
      <xdr:spPr>
        <a:xfrm>
          <a:off x="11803716" y="2638089"/>
          <a:ext cx="1318709" cy="1985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aseline="0"/>
            <a:t>Clientes </a:t>
          </a:r>
          <a:r>
            <a:rPr lang="es-CO" sz="1100"/>
            <a:t>(k)</a:t>
          </a:r>
        </a:p>
      </xdr:txBody>
    </xdr:sp>
    <xdr:clientData/>
  </xdr:twoCellAnchor>
  <xdr:twoCellAnchor>
    <xdr:from>
      <xdr:col>8</xdr:col>
      <xdr:colOff>388620</xdr:colOff>
      <xdr:row>16</xdr:row>
      <xdr:rowOff>76200</xdr:rowOff>
    </xdr:from>
    <xdr:to>
      <xdr:col>8</xdr:col>
      <xdr:colOff>845820</xdr:colOff>
      <xdr:row>19</xdr:row>
      <xdr:rowOff>15240</xdr:rowOff>
    </xdr:to>
    <xdr:sp macro="" textlink="">
      <xdr:nvSpPr>
        <xdr:cNvPr id="2" name="Triángulo isósceles 1">
          <a:extLst>
            <a:ext uri="{FF2B5EF4-FFF2-40B4-BE49-F238E27FC236}">
              <a16:creationId xmlns:a16="http://schemas.microsoft.com/office/drawing/2014/main" id="{3ABE3ECD-A1FA-0D9A-0CC0-EE4B9B005BD8}"/>
            </a:ext>
          </a:extLst>
        </xdr:cNvPr>
        <xdr:cNvSpPr/>
      </xdr:nvSpPr>
      <xdr:spPr>
        <a:xfrm>
          <a:off x="8046720" y="3116580"/>
          <a:ext cx="457200" cy="487680"/>
        </a:xfrm>
        <a:prstGeom prst="triangl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388620</xdr:colOff>
      <xdr:row>20</xdr:row>
      <xdr:rowOff>22860</xdr:rowOff>
    </xdr:from>
    <xdr:to>
      <xdr:col>8</xdr:col>
      <xdr:colOff>845820</xdr:colOff>
      <xdr:row>22</xdr:row>
      <xdr:rowOff>144780</xdr:rowOff>
    </xdr:to>
    <xdr:sp macro="" textlink="">
      <xdr:nvSpPr>
        <xdr:cNvPr id="3" name="Triángulo isósceles 2">
          <a:extLst>
            <a:ext uri="{FF2B5EF4-FFF2-40B4-BE49-F238E27FC236}">
              <a16:creationId xmlns:a16="http://schemas.microsoft.com/office/drawing/2014/main" id="{7C8D934C-04F1-4C94-90ED-F75A3ECDCFEF}"/>
            </a:ext>
          </a:extLst>
        </xdr:cNvPr>
        <xdr:cNvSpPr/>
      </xdr:nvSpPr>
      <xdr:spPr>
        <a:xfrm>
          <a:off x="8046720" y="3794760"/>
          <a:ext cx="457200" cy="487680"/>
        </a:xfrm>
        <a:prstGeom prst="triangl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381000</xdr:colOff>
      <xdr:row>24</xdr:row>
      <xdr:rowOff>60960</xdr:rowOff>
    </xdr:from>
    <xdr:to>
      <xdr:col>8</xdr:col>
      <xdr:colOff>838200</xdr:colOff>
      <xdr:row>27</xdr:row>
      <xdr:rowOff>0</xdr:rowOff>
    </xdr:to>
    <xdr:sp macro="" textlink="">
      <xdr:nvSpPr>
        <xdr:cNvPr id="4" name="Triángulo isósceles 3">
          <a:extLst>
            <a:ext uri="{FF2B5EF4-FFF2-40B4-BE49-F238E27FC236}">
              <a16:creationId xmlns:a16="http://schemas.microsoft.com/office/drawing/2014/main" id="{E5F57EA8-7034-4D74-9006-3D611CD92B21}"/>
            </a:ext>
          </a:extLst>
        </xdr:cNvPr>
        <xdr:cNvSpPr/>
      </xdr:nvSpPr>
      <xdr:spPr>
        <a:xfrm>
          <a:off x="8039100" y="4564380"/>
          <a:ext cx="457200" cy="487680"/>
        </a:xfrm>
        <a:prstGeom prst="triangl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365760</xdr:colOff>
      <xdr:row>28</xdr:row>
      <xdr:rowOff>38100</xdr:rowOff>
    </xdr:from>
    <xdr:to>
      <xdr:col>8</xdr:col>
      <xdr:colOff>822960</xdr:colOff>
      <xdr:row>30</xdr:row>
      <xdr:rowOff>160020</xdr:rowOff>
    </xdr:to>
    <xdr:sp macro="" textlink="">
      <xdr:nvSpPr>
        <xdr:cNvPr id="5" name="Triángulo isósceles 4">
          <a:extLst>
            <a:ext uri="{FF2B5EF4-FFF2-40B4-BE49-F238E27FC236}">
              <a16:creationId xmlns:a16="http://schemas.microsoft.com/office/drawing/2014/main" id="{DBDF4B3B-DF60-4F9B-BB8D-7D9B3BDBDB74}"/>
            </a:ext>
          </a:extLst>
        </xdr:cNvPr>
        <xdr:cNvSpPr/>
      </xdr:nvSpPr>
      <xdr:spPr>
        <a:xfrm>
          <a:off x="8023860" y="5273040"/>
          <a:ext cx="457200" cy="487680"/>
        </a:xfrm>
        <a:prstGeom prst="triangl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289560</xdr:colOff>
      <xdr:row>18</xdr:row>
      <xdr:rowOff>38100</xdr:rowOff>
    </xdr:from>
    <xdr:to>
      <xdr:col>11</xdr:col>
      <xdr:colOff>457200</xdr:colOff>
      <xdr:row>21</xdr:row>
      <xdr:rowOff>15240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E5AD9E47-827C-D97A-9D90-69685E27321F}"/>
            </a:ext>
          </a:extLst>
        </xdr:cNvPr>
        <xdr:cNvSpPr/>
      </xdr:nvSpPr>
      <xdr:spPr>
        <a:xfrm>
          <a:off x="10073640" y="3444240"/>
          <a:ext cx="952500" cy="52578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312420</xdr:colOff>
      <xdr:row>25</xdr:row>
      <xdr:rowOff>7620</xdr:rowOff>
    </xdr:from>
    <xdr:to>
      <xdr:col>11</xdr:col>
      <xdr:colOff>480060</xdr:colOff>
      <xdr:row>27</xdr:row>
      <xdr:rowOff>167640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1E163628-3C39-410E-8DC7-C1630DF7039A}"/>
            </a:ext>
          </a:extLst>
        </xdr:cNvPr>
        <xdr:cNvSpPr/>
      </xdr:nvSpPr>
      <xdr:spPr>
        <a:xfrm>
          <a:off x="10096500" y="4693920"/>
          <a:ext cx="952500" cy="52578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662940</xdr:colOff>
      <xdr:row>21</xdr:row>
      <xdr:rowOff>0</xdr:rowOff>
    </xdr:from>
    <xdr:to>
      <xdr:col>13</xdr:col>
      <xdr:colOff>746760</xdr:colOff>
      <xdr:row>24</xdr:row>
      <xdr:rowOff>30480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CDFCD88C-9177-8885-B4A5-5985EDDBFBFF}"/>
            </a:ext>
          </a:extLst>
        </xdr:cNvPr>
        <xdr:cNvSpPr/>
      </xdr:nvSpPr>
      <xdr:spPr>
        <a:xfrm>
          <a:off x="12016740" y="3954780"/>
          <a:ext cx="868680" cy="57912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731520</xdr:colOff>
      <xdr:row>17</xdr:row>
      <xdr:rowOff>137160</xdr:rowOff>
    </xdr:from>
    <xdr:to>
      <xdr:col>10</xdr:col>
      <xdr:colOff>289560</xdr:colOff>
      <xdr:row>19</xdr:row>
      <xdr:rowOff>118110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6EB57BFF-67EA-B587-9BBF-4681F28A498D}"/>
            </a:ext>
          </a:extLst>
        </xdr:cNvPr>
        <xdr:cNvCxnSpPr>
          <a:stCxn id="2" idx="5"/>
          <a:endCxn id="6" idx="1"/>
        </xdr:cNvCxnSpPr>
      </xdr:nvCxnSpPr>
      <xdr:spPr>
        <a:xfrm>
          <a:off x="8389620" y="3360420"/>
          <a:ext cx="1684020" cy="3467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731520</xdr:colOff>
      <xdr:row>19</xdr:row>
      <xdr:rowOff>118110</xdr:rowOff>
    </xdr:from>
    <xdr:to>
      <xdr:col>10</xdr:col>
      <xdr:colOff>289560</xdr:colOff>
      <xdr:row>21</xdr:row>
      <xdr:rowOff>83820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A8FC770C-4888-5150-E32E-033C5333B450}"/>
            </a:ext>
          </a:extLst>
        </xdr:cNvPr>
        <xdr:cNvCxnSpPr>
          <a:stCxn id="3" idx="5"/>
          <a:endCxn id="6" idx="1"/>
        </xdr:cNvCxnSpPr>
      </xdr:nvCxnSpPr>
      <xdr:spPr>
        <a:xfrm flipV="1">
          <a:off x="8389620" y="3707130"/>
          <a:ext cx="1684020" cy="3314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723900</xdr:colOff>
      <xdr:row>25</xdr:row>
      <xdr:rowOff>121920</xdr:rowOff>
    </xdr:from>
    <xdr:to>
      <xdr:col>10</xdr:col>
      <xdr:colOff>312420</xdr:colOff>
      <xdr:row>26</xdr:row>
      <xdr:rowOff>87630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701C63C1-F1D3-4D21-8BB0-8989ACE2A0A3}"/>
            </a:ext>
          </a:extLst>
        </xdr:cNvPr>
        <xdr:cNvCxnSpPr>
          <a:stCxn id="4" idx="5"/>
          <a:endCxn id="9" idx="1"/>
        </xdr:cNvCxnSpPr>
      </xdr:nvCxnSpPr>
      <xdr:spPr>
        <a:xfrm>
          <a:off x="8382000" y="4808220"/>
          <a:ext cx="1714500" cy="1485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708660</xdr:colOff>
      <xdr:row>26</xdr:row>
      <xdr:rowOff>87630</xdr:rowOff>
    </xdr:from>
    <xdr:to>
      <xdr:col>10</xdr:col>
      <xdr:colOff>312420</xdr:colOff>
      <xdr:row>29</xdr:row>
      <xdr:rowOff>99060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53579030-7254-7FE6-0AFC-8695ED9C9E1F}"/>
            </a:ext>
          </a:extLst>
        </xdr:cNvPr>
        <xdr:cNvCxnSpPr>
          <a:stCxn id="5" idx="5"/>
          <a:endCxn id="9" idx="1"/>
        </xdr:cNvCxnSpPr>
      </xdr:nvCxnSpPr>
      <xdr:spPr>
        <a:xfrm flipV="1">
          <a:off x="8366760" y="4956810"/>
          <a:ext cx="1729740" cy="5600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480060</xdr:colOff>
      <xdr:row>22</xdr:row>
      <xdr:rowOff>106680</xdr:rowOff>
    </xdr:from>
    <xdr:to>
      <xdr:col>12</xdr:col>
      <xdr:colOff>662940</xdr:colOff>
      <xdr:row>26</xdr:row>
      <xdr:rowOff>87630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5D4CCA4F-5CB8-1063-6FFF-6C077F177007}"/>
            </a:ext>
          </a:extLst>
        </xdr:cNvPr>
        <xdr:cNvCxnSpPr>
          <a:stCxn id="9" idx="3"/>
          <a:endCxn id="11" idx="2"/>
        </xdr:cNvCxnSpPr>
      </xdr:nvCxnSpPr>
      <xdr:spPr>
        <a:xfrm flipV="1">
          <a:off x="11049000" y="4244340"/>
          <a:ext cx="967740" cy="7124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457200</xdr:colOff>
      <xdr:row>19</xdr:row>
      <xdr:rowOff>118110</xdr:rowOff>
    </xdr:from>
    <xdr:to>
      <xdr:col>12</xdr:col>
      <xdr:colOff>662940</xdr:colOff>
      <xdr:row>22</xdr:row>
      <xdr:rowOff>106680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B5CAE616-E695-B78D-3C39-D676E75434F9}"/>
            </a:ext>
          </a:extLst>
        </xdr:cNvPr>
        <xdr:cNvCxnSpPr>
          <a:stCxn id="6" idx="3"/>
          <a:endCxn id="11" idx="2"/>
        </xdr:cNvCxnSpPr>
      </xdr:nvCxnSpPr>
      <xdr:spPr>
        <a:xfrm>
          <a:off x="11026140" y="3707130"/>
          <a:ext cx="990600" cy="5372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21</xdr:row>
      <xdr:rowOff>0</xdr:rowOff>
    </xdr:from>
    <xdr:to>
      <xdr:col>9</xdr:col>
      <xdr:colOff>693420</xdr:colOff>
      <xdr:row>22</xdr:row>
      <xdr:rowOff>45720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9D05D59A-001E-F71E-B75C-CCF11782110B}"/>
            </a:ext>
          </a:extLst>
        </xdr:cNvPr>
        <xdr:cNvSpPr txBox="1"/>
      </xdr:nvSpPr>
      <xdr:spPr>
        <a:xfrm>
          <a:off x="9037320" y="3954780"/>
          <a:ext cx="655320" cy="228600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PA(pijt)</a:t>
          </a:r>
        </a:p>
      </xdr:txBody>
    </xdr:sp>
    <xdr:clientData/>
  </xdr:twoCellAnchor>
  <xdr:twoCellAnchor>
    <xdr:from>
      <xdr:col>12</xdr:col>
      <xdr:colOff>30480</xdr:colOff>
      <xdr:row>18</xdr:row>
      <xdr:rowOff>167640</xdr:rowOff>
    </xdr:from>
    <xdr:to>
      <xdr:col>12</xdr:col>
      <xdr:colOff>685800</xdr:colOff>
      <xdr:row>20</xdr:row>
      <xdr:rowOff>30480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3D885FB6-6BA9-4020-B5B4-C1039F42C5B9}"/>
            </a:ext>
          </a:extLst>
        </xdr:cNvPr>
        <xdr:cNvSpPr txBox="1"/>
      </xdr:nvSpPr>
      <xdr:spPr>
        <a:xfrm>
          <a:off x="11384280" y="3573780"/>
          <a:ext cx="655320" cy="228600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AC(pjkt)</a:t>
          </a:r>
        </a:p>
      </xdr:txBody>
    </xdr:sp>
    <xdr:clientData/>
  </xdr:twoCellAnchor>
  <xdr:twoCellAnchor>
    <xdr:from>
      <xdr:col>10</xdr:col>
      <xdr:colOff>281940</xdr:colOff>
      <xdr:row>16</xdr:row>
      <xdr:rowOff>83820</xdr:rowOff>
    </xdr:from>
    <xdr:to>
      <xdr:col>11</xdr:col>
      <xdr:colOff>441960</xdr:colOff>
      <xdr:row>17</xdr:row>
      <xdr:rowOff>121920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769259DA-8BD1-46E9-8F3E-78ED472081A3}"/>
            </a:ext>
          </a:extLst>
        </xdr:cNvPr>
        <xdr:cNvSpPr txBox="1"/>
      </xdr:nvSpPr>
      <xdr:spPr>
        <a:xfrm>
          <a:off x="10066020" y="3124200"/>
          <a:ext cx="944880" cy="220980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InvA(pjt)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EANDRO JOSE PE�A RODRIGUEZ" id="{EB2B108C-59C0-4D30-9EEB-31B55DC0D893}" userId="S::leandropenajr@unimagdalena.edu.co::242ac0a1-b419-4a61-a6c8-a3ece2bfdb98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3-07-14T20:05:36.16" personId="{EB2B108C-59C0-4D30-9EEB-31B55DC0D893}" id="{6B13A07A-EC2B-4061-B2C4-D4F3D6A4EE62}">
    <text>Dato promedio en la encuesta</text>
  </threadedComment>
  <threadedComment ref="H6" dT="2023-07-14T20:18:19.51" personId="{EB2B108C-59C0-4D30-9EEB-31B55DC0D893}" id="{ACE27B78-B74B-4523-8659-893EEC5231E0}">
    <text>Kw.h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1B26-61C3-4F7F-BECA-B75D4A339822}">
  <dimension ref="A1:P12"/>
  <sheetViews>
    <sheetView workbookViewId="0">
      <selection activeCell="A4" sqref="A4"/>
    </sheetView>
  </sheetViews>
  <sheetFormatPr baseColWidth="10" defaultColWidth="11.44140625" defaultRowHeight="14.4" x14ac:dyDescent="0.3"/>
  <cols>
    <col min="3" max="3" width="18.33203125" bestFit="1" customWidth="1"/>
    <col min="4" max="4" width="9.5546875" customWidth="1"/>
    <col min="5" max="5" width="18.33203125" customWidth="1"/>
    <col min="6" max="6" width="8.6640625" customWidth="1"/>
    <col min="7" max="7" width="22.44140625" bestFit="1" customWidth="1"/>
    <col min="9" max="9" width="19.5546875" bestFit="1" customWidth="1"/>
  </cols>
  <sheetData>
    <row r="1" spans="1:16" ht="23.55" x14ac:dyDescent="0.45">
      <c r="A1" s="12" t="s">
        <v>0</v>
      </c>
    </row>
    <row r="3" spans="1:16" ht="15" x14ac:dyDescent="0.3">
      <c r="A3" s="17" t="s">
        <v>1</v>
      </c>
      <c r="C3" s="11" t="s">
        <v>2</v>
      </c>
      <c r="K3" s="10" t="s">
        <v>3</v>
      </c>
      <c r="N3" s="14" t="s">
        <v>4</v>
      </c>
    </row>
    <row r="4" spans="1:16" x14ac:dyDescent="0.3">
      <c r="A4" s="4" t="s">
        <v>247</v>
      </c>
      <c r="C4" s="8" t="s">
        <v>5</v>
      </c>
      <c r="E4" s="8" t="s">
        <v>6</v>
      </c>
      <c r="G4" s="9" t="s">
        <v>7</v>
      </c>
      <c r="I4" s="9" t="s">
        <v>8</v>
      </c>
      <c r="K4" s="4" t="s">
        <v>9</v>
      </c>
      <c r="N4" s="6" t="s">
        <v>10</v>
      </c>
      <c r="P4" s="4"/>
    </row>
    <row r="5" spans="1:16" ht="15" x14ac:dyDescent="0.3">
      <c r="A5" s="4" t="s">
        <v>251</v>
      </c>
      <c r="B5" s="3"/>
      <c r="C5" s="4" t="s">
        <v>11</v>
      </c>
      <c r="E5" s="4" t="s">
        <v>12</v>
      </c>
      <c r="F5" s="3"/>
      <c r="G5" s="7" t="s">
        <v>13</v>
      </c>
      <c r="H5" s="3"/>
      <c r="I5" s="4" t="s">
        <v>14</v>
      </c>
      <c r="J5" s="3"/>
      <c r="K5" s="6" t="s">
        <v>15</v>
      </c>
      <c r="L5" s="3"/>
      <c r="M5" s="3"/>
      <c r="N5" s="3"/>
      <c r="P5" s="4"/>
    </row>
    <row r="6" spans="1:16" ht="15" x14ac:dyDescent="0.3">
      <c r="A6" s="4" t="s">
        <v>248</v>
      </c>
      <c r="C6" s="6" t="s">
        <v>16</v>
      </c>
      <c r="E6" s="4" t="s">
        <v>17</v>
      </c>
      <c r="G6" s="7"/>
      <c r="I6" s="4" t="s">
        <v>18</v>
      </c>
      <c r="K6" s="4" t="s">
        <v>19</v>
      </c>
      <c r="P6" s="4"/>
    </row>
    <row r="7" spans="1:16" ht="15" x14ac:dyDescent="0.3">
      <c r="A7" s="13" t="s">
        <v>249</v>
      </c>
      <c r="C7" s="7" t="s">
        <v>20</v>
      </c>
      <c r="E7" s="4" t="s">
        <v>21</v>
      </c>
      <c r="G7" s="7"/>
      <c r="I7" s="4" t="s">
        <v>22</v>
      </c>
      <c r="K7" s="6" t="s">
        <v>23</v>
      </c>
      <c r="P7" s="4"/>
    </row>
    <row r="8" spans="1:16" ht="15" x14ac:dyDescent="0.3">
      <c r="A8" s="4" t="s">
        <v>250</v>
      </c>
      <c r="C8" s="4" t="s">
        <v>24</v>
      </c>
      <c r="G8" s="7"/>
      <c r="I8" s="6" t="s">
        <v>25</v>
      </c>
    </row>
    <row r="9" spans="1:16" ht="15" x14ac:dyDescent="0.3">
      <c r="A9" s="4"/>
      <c r="C9" s="6" t="s">
        <v>26</v>
      </c>
      <c r="I9" s="6" t="s">
        <v>27</v>
      </c>
    </row>
    <row r="10" spans="1:16" ht="15" x14ac:dyDescent="0.3">
      <c r="A10" s="4"/>
      <c r="C10" s="7" t="s">
        <v>28</v>
      </c>
      <c r="I10" s="6" t="s">
        <v>29</v>
      </c>
    </row>
    <row r="11" spans="1:16" ht="15" x14ac:dyDescent="0.3">
      <c r="A11" s="4"/>
      <c r="C11" s="6"/>
      <c r="I11" s="4" t="s">
        <v>30</v>
      </c>
    </row>
    <row r="12" spans="1:16" ht="15" x14ac:dyDescent="0.3">
      <c r="C12" s="7"/>
      <c r="I12" s="4" t="s">
        <v>31</v>
      </c>
    </row>
  </sheetData>
  <phoneticPr fontId="2" type="noConversion"/>
  <hyperlinks>
    <hyperlink ref="A3" location="Conjuntos!A1" display="Conjuntos " xr:uid="{62AEE734-3551-4EB9-94F2-BF115F2CA184}"/>
    <hyperlink ref="C3" location="Costos!A1" display="Costos" xr:uid="{7CA33396-EA40-476F-94E4-E843AC4D7307}"/>
    <hyperlink ref="C5" location="CostFijoOperDist!A1" display="CostFijoOperDist" xr:uid="{64FBB680-453F-49B3-BEB6-BF3AE3C5AD58}"/>
    <hyperlink ref="G5" location="CostProdAgri!A1" display="CostProdAgri" xr:uid="{EEEA8CBF-20EB-4A05-8700-619E0A7F5352}"/>
    <hyperlink ref="I5" location="CostTransAgriDistri!A1" display="CostTransAgriDistri" xr:uid="{5C56AA7C-D4F5-4B0E-8C28-77791711C96B}"/>
    <hyperlink ref="I6" location="CostTransAgriMayo!A1" display="CostTransAgriMayo" xr:uid="{E1D4CCDC-77B0-4FCB-9BBD-84B7F93EDDA5}"/>
    <hyperlink ref="I7" location="CostTransAgriMino!A1" display="CostTransAgriMino" xr:uid="{783CC3E2-617E-4DB5-9453-637636862C09}"/>
    <hyperlink ref="I8" location="CostTransDistriMayo!A1" display="CostTransDistriMayo" xr:uid="{43FE7C92-2B2E-4261-9BBB-B9E71320D996}"/>
    <hyperlink ref="K3" location="Capacidades!A1" display="Capacidades" xr:uid="{433C57D8-FDA9-4B86-A328-A8572350B33D}"/>
    <hyperlink ref="I12" location="CostTranMinoClie!A1" display="CostTransMinoClie" xr:uid="{FEAEA170-93EF-4C7A-92A1-86912CFCD685}"/>
    <hyperlink ref="I11" location="CostTransMayoClie!A1" display="CostTransMayoClie" xr:uid="{69983CEF-026F-4783-A4AC-294398A65BB3}"/>
    <hyperlink ref="I10" location="CostTransMayoMino!A1" display="CostTransMayoMino" xr:uid="{B66649F2-DEC3-47C4-B21B-1F3DA89489D3}"/>
    <hyperlink ref="I9" location="CostTransDistriMino!A1" display="CostTransDistriMino" xr:uid="{FB3ACBA3-65CB-4D1B-ABC2-1089672A7A0B}"/>
    <hyperlink ref="C4" location="'Costos de operacion'!A1" display="Costos de operación" xr:uid="{FDBFDDC8-53D1-4741-9C33-D747CB099723}"/>
    <hyperlink ref="G4" location="'Costo i-p'!A1" display="Costo Insumo/Producto" xr:uid="{939892D5-3132-4B72-90F9-F55D620713F1}"/>
    <hyperlink ref="I4" location="'Costo de transporte'!A1" display="Costos de transporte" xr:uid="{7D025CF5-4558-4F1E-A6BC-2F52550CB852}"/>
    <hyperlink ref="K5" location="CapAlmacenamientoDistri!A1" display="CapAlmacenamientoDistri" xr:uid="{69417EA8-342A-4C3F-A48C-BBA6BC79F1A6}"/>
    <hyperlink ref="K6" location="CapAlmacenamientoMayo!A1" display="CapAlmacenamientoMayo" xr:uid="{B92BEF75-B386-4E4D-BFCE-8B09B46B57C7}"/>
    <hyperlink ref="K7" location="CapAlmacenamientoMino!A1" display="CapAlmacenamientoMino" xr:uid="{2A7942EC-5E8E-41D6-BE43-8A59A3BAF7A8}"/>
    <hyperlink ref="N4" location="DemandaClie!A1" display="DemandaClie" xr:uid="{1F98743C-DE21-428D-8423-D34F750A2DE6}"/>
    <hyperlink ref="N3" location="Demanda!A1" display="Demanda " xr:uid="{1482BCE9-5865-4EB3-B31F-3172BBBCC675}"/>
    <hyperlink ref="E5" location="CostInvDistri!A1" display="CostInvDistri" xr:uid="{A67FABE8-6B05-4C36-AFE5-42D0BFCEEFD0}"/>
    <hyperlink ref="E6" location="CostInvMayo!A1" display="CostInvMayo" xr:uid="{5AF21AC3-75E1-47B4-8041-364E7A8C123C}"/>
    <hyperlink ref="E7" location="CostInvMino!A1" display="CostInvMino" xr:uid="{CEB81165-A6E9-49A8-92D6-67EB7E9C6B55}"/>
    <hyperlink ref="E4" location="'Costos de inventario'!A1" display="Costos de inventario" xr:uid="{2D16B764-040E-44D5-95DC-1D21736DCDA8}"/>
    <hyperlink ref="C6" location="CostFijoOperMayo!A1" display="CostFijoOperMayo" xr:uid="{8DCF23D4-BD89-4E61-98E8-419247AA8376}"/>
    <hyperlink ref="C7" location="CostFijoOperMino!A1" display="CostFijoOperMino" xr:uid="{7D8C3B83-8E06-4470-8F8C-0265DBFB5C5B}"/>
    <hyperlink ref="C8" location="CostVarOperDist!A1" display="CostVarOperDist" xr:uid="{3E37F62F-F2AB-4D28-831C-549C9EF8CB5D}"/>
    <hyperlink ref="C9" location="CostVarOperMayo!A1" display="CostVarOperMayo" xr:uid="{B4F3E295-2025-486B-B037-B77B04EF9EEF}"/>
    <hyperlink ref="C10" location="CostVarOperMino!A1" display="CostVarOperMino" xr:uid="{D7920C0F-F478-4AC0-B4E9-2ED3EE4635E2}"/>
    <hyperlink ref="K4" location="CapAgricultor!A1" display="CapAgricultor" xr:uid="{B17AF2C3-2D20-41CD-9477-4C246CDE2391}"/>
    <hyperlink ref="A4" location="Productores!A1" display="Productores" xr:uid="{157319A4-C790-434E-8D64-B5657EA0A136}"/>
    <hyperlink ref="A5" location="CAcopio!A1" display="CAcopio" xr:uid="{BD3DFE15-CDCC-4543-B45F-2D842C86EFA3}"/>
    <hyperlink ref="A6" location="Clientes!A1" display="Clientes" xr:uid="{8A169D7B-EC02-4AAF-9EC6-4D88ED07BE7E}"/>
    <hyperlink ref="A7" location="Productos!A1" display="Productos" xr:uid="{350D38E3-6E86-4F3A-9A2A-A58D38BF5E16}"/>
    <hyperlink ref="A8" location="Tiempo!A1" display="Tiempo " xr:uid="{E12FBA63-1249-48BF-9536-5EDB3956168E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8969E-C060-452B-9ADE-60474BD6E4AF}">
  <sheetPr>
    <tabColor theme="4"/>
  </sheetPr>
  <dimension ref="A1"/>
  <sheetViews>
    <sheetView workbookViewId="0"/>
  </sheetViews>
  <sheetFormatPr baseColWidth="10" defaultColWidth="11.44140625" defaultRowHeight="14.4" x14ac:dyDescent="0.3"/>
  <sheetData>
    <row r="1" spans="1:1" x14ac:dyDescent="0.3">
      <c r="A1" s="4" t="s">
        <v>32</v>
      </c>
    </row>
  </sheetData>
  <hyperlinks>
    <hyperlink ref="A1" location="Contenido!A1" display="Contenido" xr:uid="{75E757BF-0C30-47C2-A0E3-FAEB8D1F9AB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39B01-1382-4EFD-B0B0-FC8F90DCC7AC}">
  <dimension ref="A1:E25"/>
  <sheetViews>
    <sheetView workbookViewId="0">
      <selection activeCell="I12" sqref="I12"/>
    </sheetView>
  </sheetViews>
  <sheetFormatPr baseColWidth="10" defaultColWidth="11.44140625" defaultRowHeight="14.4" x14ac:dyDescent="0.3"/>
  <cols>
    <col min="2" max="2" width="17.44140625" customWidth="1"/>
    <col min="3" max="3" width="32.6640625" bestFit="1" customWidth="1"/>
    <col min="4" max="4" width="20.33203125" customWidth="1"/>
  </cols>
  <sheetData>
    <row r="1" spans="1:5" x14ac:dyDescent="0.3">
      <c r="A1" s="4" t="s">
        <v>32</v>
      </c>
      <c r="B1" s="1" t="s">
        <v>47</v>
      </c>
      <c r="C1" s="1" t="s">
        <v>252</v>
      </c>
      <c r="D1" s="1" t="s">
        <v>253</v>
      </c>
      <c r="E1" s="32" t="s">
        <v>392</v>
      </c>
    </row>
    <row r="2" spans="1:5" x14ac:dyDescent="0.3">
      <c r="B2" s="2" t="s">
        <v>48</v>
      </c>
      <c r="C2" s="2" t="s">
        <v>259</v>
      </c>
      <c r="D2" s="2" t="s">
        <v>260</v>
      </c>
      <c r="E2" s="2" t="s">
        <v>389</v>
      </c>
    </row>
    <row r="3" spans="1:5" x14ac:dyDescent="0.3">
      <c r="B3" s="2" t="s">
        <v>49</v>
      </c>
      <c r="C3" s="2" t="s">
        <v>261</v>
      </c>
      <c r="D3" s="2" t="s">
        <v>260</v>
      </c>
      <c r="E3" s="2" t="s">
        <v>389</v>
      </c>
    </row>
    <row r="4" spans="1:5" x14ac:dyDescent="0.3">
      <c r="B4" s="2" t="s">
        <v>50</v>
      </c>
      <c r="C4" s="2" t="s">
        <v>262</v>
      </c>
      <c r="D4" s="2" t="s">
        <v>260</v>
      </c>
      <c r="E4" s="2" t="s">
        <v>389</v>
      </c>
    </row>
    <row r="5" spans="1:5" x14ac:dyDescent="0.3">
      <c r="B5" s="2" t="s">
        <v>51</v>
      </c>
      <c r="C5" s="2" t="s">
        <v>263</v>
      </c>
      <c r="D5" s="2" t="s">
        <v>264</v>
      </c>
      <c r="E5" s="2" t="s">
        <v>389</v>
      </c>
    </row>
    <row r="6" spans="1:5" x14ac:dyDescent="0.3">
      <c r="B6" s="2" t="s">
        <v>52</v>
      </c>
      <c r="C6" s="2" t="s">
        <v>265</v>
      </c>
      <c r="D6" s="2" t="s">
        <v>264</v>
      </c>
      <c r="E6" s="2" t="s">
        <v>389</v>
      </c>
    </row>
    <row r="7" spans="1:5" x14ac:dyDescent="0.3">
      <c r="B7" s="2" t="s">
        <v>53</v>
      </c>
      <c r="C7" s="2" t="s">
        <v>266</v>
      </c>
      <c r="D7" s="2" t="s">
        <v>264</v>
      </c>
      <c r="E7" s="2" t="s">
        <v>389</v>
      </c>
    </row>
    <row r="8" spans="1:5" x14ac:dyDescent="0.3">
      <c r="B8" s="2" t="s">
        <v>54</v>
      </c>
      <c r="C8" s="2" t="s">
        <v>267</v>
      </c>
      <c r="D8" s="2" t="s">
        <v>264</v>
      </c>
      <c r="E8" s="2" t="s">
        <v>389</v>
      </c>
    </row>
    <row r="9" spans="1:5" x14ac:dyDescent="0.3">
      <c r="B9" s="2" t="s">
        <v>55</v>
      </c>
      <c r="C9" s="2" t="s">
        <v>268</v>
      </c>
      <c r="D9" s="2" t="s">
        <v>264</v>
      </c>
      <c r="E9" s="2" t="s">
        <v>389</v>
      </c>
    </row>
    <row r="10" spans="1:5" x14ac:dyDescent="0.3">
      <c r="B10" s="2" t="s">
        <v>56</v>
      </c>
      <c r="C10" s="2" t="s">
        <v>287</v>
      </c>
      <c r="D10" s="2" t="s">
        <v>288</v>
      </c>
      <c r="E10" s="2" t="s">
        <v>389</v>
      </c>
    </row>
    <row r="11" spans="1:5" x14ac:dyDescent="0.3">
      <c r="B11" s="2" t="s">
        <v>57</v>
      </c>
      <c r="C11" s="2" t="s">
        <v>269</v>
      </c>
      <c r="D11" s="2" t="s">
        <v>270</v>
      </c>
      <c r="E11" s="2" t="s">
        <v>390</v>
      </c>
    </row>
    <row r="12" spans="1:5" x14ac:dyDescent="0.3">
      <c r="B12" s="2" t="s">
        <v>58</v>
      </c>
      <c r="C12" s="2" t="s">
        <v>271</v>
      </c>
      <c r="D12" s="2" t="s">
        <v>270</v>
      </c>
      <c r="E12" s="2" t="s">
        <v>390</v>
      </c>
    </row>
    <row r="13" spans="1:5" x14ac:dyDescent="0.3">
      <c r="B13" s="2" t="s">
        <v>59</v>
      </c>
      <c r="C13" s="2" t="s">
        <v>272</v>
      </c>
      <c r="D13" s="2" t="s">
        <v>270</v>
      </c>
      <c r="E13" s="2" t="s">
        <v>390</v>
      </c>
    </row>
    <row r="14" spans="1:5" x14ac:dyDescent="0.3">
      <c r="B14" s="2" t="s">
        <v>60</v>
      </c>
      <c r="C14" s="2" t="s">
        <v>273</v>
      </c>
      <c r="D14" s="2" t="s">
        <v>270</v>
      </c>
      <c r="E14" s="2" t="s">
        <v>390</v>
      </c>
    </row>
    <row r="15" spans="1:5" x14ac:dyDescent="0.3">
      <c r="B15" s="2" t="s">
        <v>61</v>
      </c>
      <c r="C15" s="2" t="s">
        <v>274</v>
      </c>
      <c r="D15" s="2" t="s">
        <v>270</v>
      </c>
      <c r="E15" s="2" t="s">
        <v>390</v>
      </c>
    </row>
    <row r="16" spans="1:5" x14ac:dyDescent="0.3">
      <c r="B16" s="2" t="s">
        <v>62</v>
      </c>
      <c r="C16" s="2" t="s">
        <v>275</v>
      </c>
      <c r="D16" s="2" t="s">
        <v>270</v>
      </c>
      <c r="E16" s="2" t="s">
        <v>390</v>
      </c>
    </row>
    <row r="17" spans="2:5" x14ac:dyDescent="0.3">
      <c r="B17" s="2" t="s">
        <v>63</v>
      </c>
      <c r="C17" s="2" t="s">
        <v>276</v>
      </c>
      <c r="D17" s="2" t="s">
        <v>270</v>
      </c>
      <c r="E17" s="2" t="s">
        <v>390</v>
      </c>
    </row>
    <row r="18" spans="2:5" x14ac:dyDescent="0.3">
      <c r="B18" s="2" t="s">
        <v>64</v>
      </c>
      <c r="C18" s="2" t="s">
        <v>281</v>
      </c>
      <c r="D18" s="2" t="s">
        <v>282</v>
      </c>
      <c r="E18" s="2" t="s">
        <v>390</v>
      </c>
    </row>
    <row r="19" spans="2:5" x14ac:dyDescent="0.3">
      <c r="B19" s="2" t="s">
        <v>65</v>
      </c>
      <c r="C19" s="2" t="s">
        <v>283</v>
      </c>
      <c r="D19" s="2" t="s">
        <v>282</v>
      </c>
      <c r="E19" s="2" t="s">
        <v>390</v>
      </c>
    </row>
    <row r="20" spans="2:5" x14ac:dyDescent="0.3">
      <c r="B20" s="2" t="s">
        <v>66</v>
      </c>
      <c r="C20" s="2" t="s">
        <v>284</v>
      </c>
      <c r="D20" s="2" t="s">
        <v>282</v>
      </c>
      <c r="E20" s="2" t="s">
        <v>390</v>
      </c>
    </row>
    <row r="21" spans="2:5" x14ac:dyDescent="0.3">
      <c r="B21" s="2" t="s">
        <v>67</v>
      </c>
      <c r="C21" s="2" t="s">
        <v>285</v>
      </c>
      <c r="D21" s="2" t="s">
        <v>282</v>
      </c>
      <c r="E21" s="2" t="s">
        <v>390</v>
      </c>
    </row>
    <row r="22" spans="2:5" x14ac:dyDescent="0.3">
      <c r="B22" s="2" t="s">
        <v>68</v>
      </c>
      <c r="C22" s="2" t="s">
        <v>286</v>
      </c>
      <c r="D22" s="2" t="s">
        <v>282</v>
      </c>
      <c r="E22" s="2" t="s">
        <v>390</v>
      </c>
    </row>
    <row r="23" spans="2:5" x14ac:dyDescent="0.3">
      <c r="B23" s="2" t="s">
        <v>69</v>
      </c>
      <c r="C23" s="2" t="s">
        <v>277</v>
      </c>
      <c r="D23" s="2" t="s">
        <v>278</v>
      </c>
      <c r="E23" s="2" t="s">
        <v>391</v>
      </c>
    </row>
    <row r="24" spans="2:5" x14ac:dyDescent="0.3">
      <c r="B24" s="2" t="s">
        <v>70</v>
      </c>
      <c r="C24" s="2" t="s">
        <v>279</v>
      </c>
      <c r="D24" s="2" t="s">
        <v>278</v>
      </c>
      <c r="E24" s="2" t="s">
        <v>391</v>
      </c>
    </row>
    <row r="25" spans="2:5" x14ac:dyDescent="0.3">
      <c r="B25" s="2" t="s">
        <v>71</v>
      </c>
      <c r="C25" s="2" t="s">
        <v>280</v>
      </c>
      <c r="D25" s="2" t="s">
        <v>278</v>
      </c>
      <c r="E25" s="2" t="s">
        <v>391</v>
      </c>
    </row>
  </sheetData>
  <phoneticPr fontId="2" type="noConversion"/>
  <hyperlinks>
    <hyperlink ref="A1" location="Contenido!A1" display="Contenido" xr:uid="{FA75B870-A008-462F-BEAF-405F7DAE137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776D-EB55-4B5A-AC8E-0E4B7762A938}">
  <dimension ref="A1:D4"/>
  <sheetViews>
    <sheetView workbookViewId="0">
      <selection activeCell="E8" sqref="E8"/>
    </sheetView>
  </sheetViews>
  <sheetFormatPr baseColWidth="10" defaultColWidth="11.44140625" defaultRowHeight="14.4" x14ac:dyDescent="0.3"/>
  <cols>
    <col min="2" max="2" width="14.6640625" customWidth="1"/>
    <col min="3" max="3" width="46.44140625" customWidth="1"/>
    <col min="4" max="4" width="17.44140625" customWidth="1"/>
  </cols>
  <sheetData>
    <row r="1" spans="1:4" x14ac:dyDescent="0.3">
      <c r="A1" s="4" t="s">
        <v>32</v>
      </c>
      <c r="B1" s="1" t="s">
        <v>72</v>
      </c>
      <c r="C1" s="1" t="s">
        <v>254</v>
      </c>
      <c r="D1" s="1" t="s">
        <v>430</v>
      </c>
    </row>
    <row r="2" spans="1:4" x14ac:dyDescent="0.3">
      <c r="B2" s="2" t="s">
        <v>73</v>
      </c>
      <c r="C2" s="2" t="s">
        <v>255</v>
      </c>
      <c r="D2" s="2" t="s">
        <v>402</v>
      </c>
    </row>
    <row r="3" spans="1:4" x14ac:dyDescent="0.3">
      <c r="B3" s="2" t="s">
        <v>74</v>
      </c>
      <c r="C3" s="2" t="s">
        <v>256</v>
      </c>
      <c r="D3" s="2" t="s">
        <v>406</v>
      </c>
    </row>
    <row r="4" spans="1:4" x14ac:dyDescent="0.3">
      <c r="B4" s="2" t="s">
        <v>75</v>
      </c>
      <c r="C4" s="2" t="s">
        <v>257</v>
      </c>
      <c r="D4" s="2" t="s">
        <v>431</v>
      </c>
    </row>
  </sheetData>
  <phoneticPr fontId="2" type="noConversion"/>
  <hyperlinks>
    <hyperlink ref="A1" location="Contenido!A1" display="Contenido" xr:uid="{4BB201B4-8BE6-480D-BC54-AA02628292F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D8051-2519-443E-955E-C070282C100A}">
  <dimension ref="A1:C2"/>
  <sheetViews>
    <sheetView workbookViewId="0">
      <selection activeCell="A2" sqref="A2"/>
    </sheetView>
  </sheetViews>
  <sheetFormatPr baseColWidth="10" defaultColWidth="11.44140625" defaultRowHeight="14.4" x14ac:dyDescent="0.3"/>
  <cols>
    <col min="3" max="3" width="47" customWidth="1"/>
  </cols>
  <sheetData>
    <row r="1" spans="1:3" x14ac:dyDescent="0.3">
      <c r="A1" s="4" t="s">
        <v>32</v>
      </c>
      <c r="B1" s="1" t="s">
        <v>76</v>
      </c>
      <c r="C1" s="1" t="s">
        <v>33</v>
      </c>
    </row>
    <row r="2" spans="1:3" x14ac:dyDescent="0.3">
      <c r="B2" s="2" t="s">
        <v>34</v>
      </c>
      <c r="C2" s="2" t="s">
        <v>258</v>
      </c>
    </row>
  </sheetData>
  <phoneticPr fontId="2" type="noConversion"/>
  <hyperlinks>
    <hyperlink ref="A1" location="Contenido!A1" display="Contenido" xr:uid="{4E3FF5C8-0F47-4CC6-8BE4-5AE9A33024C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DE36-DA6A-4852-BB78-CDC9A51F56AA}">
  <dimension ref="A1:C3"/>
  <sheetViews>
    <sheetView tabSelected="1" workbookViewId="0">
      <selection activeCell="A3" sqref="A3"/>
    </sheetView>
  </sheetViews>
  <sheetFormatPr baseColWidth="10" defaultColWidth="11.44140625" defaultRowHeight="14.4" x14ac:dyDescent="0.3"/>
  <cols>
    <col min="3" max="3" width="25" customWidth="1"/>
  </cols>
  <sheetData>
    <row r="1" spans="1:3" x14ac:dyDescent="0.3">
      <c r="A1" s="4" t="s">
        <v>32</v>
      </c>
      <c r="B1" s="1" t="s">
        <v>35</v>
      </c>
      <c r="C1" s="1" t="s">
        <v>36</v>
      </c>
    </row>
    <row r="2" spans="1:3" ht="15" x14ac:dyDescent="0.3">
      <c r="B2" s="2" t="s">
        <v>37</v>
      </c>
      <c r="C2" s="2" t="s">
        <v>77</v>
      </c>
    </row>
    <row r="3" spans="1:3" ht="19.2" customHeight="1" x14ac:dyDescent="0.3">
      <c r="B3" s="2" t="s">
        <v>38</v>
      </c>
      <c r="C3" s="2" t="s">
        <v>78</v>
      </c>
    </row>
  </sheetData>
  <phoneticPr fontId="2" type="noConversion"/>
  <hyperlinks>
    <hyperlink ref="A1" location="Contenido!A1" display="Contenido" xr:uid="{AD2A4BAC-680A-498A-A92F-0B7F364D3B0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7CE2A-A97B-4258-BC04-DB7CE86C8DC4}">
  <dimension ref="A1:C13"/>
  <sheetViews>
    <sheetView workbookViewId="0">
      <selection activeCell="G14" sqref="G14"/>
    </sheetView>
  </sheetViews>
  <sheetFormatPr baseColWidth="10" defaultColWidth="11.44140625" defaultRowHeight="14.4" x14ac:dyDescent="0.3"/>
  <sheetData>
    <row r="1" spans="1:3" x14ac:dyDescent="0.3">
      <c r="A1" s="4" t="s">
        <v>32</v>
      </c>
      <c r="B1" s="29" t="s">
        <v>39</v>
      </c>
    </row>
    <row r="2" spans="1:3" x14ac:dyDescent="0.3">
      <c r="B2" s="2" t="s">
        <v>40</v>
      </c>
      <c r="C2" s="2" t="s">
        <v>376</v>
      </c>
    </row>
    <row r="3" spans="1:3" x14ac:dyDescent="0.3">
      <c r="B3" s="2" t="s">
        <v>41</v>
      </c>
      <c r="C3" s="2" t="s">
        <v>364</v>
      </c>
    </row>
    <row r="4" spans="1:3" x14ac:dyDescent="0.3">
      <c r="B4" s="2" t="s">
        <v>42</v>
      </c>
      <c r="C4" s="2" t="s">
        <v>365</v>
      </c>
    </row>
    <row r="5" spans="1:3" x14ac:dyDescent="0.3">
      <c r="B5" s="2" t="s">
        <v>79</v>
      </c>
      <c r="C5" s="2" t="s">
        <v>366</v>
      </c>
    </row>
    <row r="6" spans="1:3" x14ac:dyDescent="0.3">
      <c r="B6" s="2" t="s">
        <v>80</v>
      </c>
      <c r="C6" s="2" t="s">
        <v>367</v>
      </c>
    </row>
    <row r="7" spans="1:3" x14ac:dyDescent="0.3">
      <c r="B7" s="2" t="s">
        <v>81</v>
      </c>
      <c r="C7" s="2" t="s">
        <v>368</v>
      </c>
    </row>
    <row r="8" spans="1:3" x14ac:dyDescent="0.3">
      <c r="B8" s="2" t="s">
        <v>82</v>
      </c>
      <c r="C8" s="2" t="s">
        <v>369</v>
      </c>
    </row>
    <row r="9" spans="1:3" x14ac:dyDescent="0.3">
      <c r="B9" s="2" t="s">
        <v>83</v>
      </c>
      <c r="C9" s="2" t="s">
        <v>370</v>
      </c>
    </row>
    <row r="10" spans="1:3" x14ac:dyDescent="0.3">
      <c r="B10" s="2" t="s">
        <v>84</v>
      </c>
      <c r="C10" s="2" t="s">
        <v>371</v>
      </c>
    </row>
    <row r="11" spans="1:3" x14ac:dyDescent="0.3">
      <c r="B11" s="2" t="s">
        <v>85</v>
      </c>
      <c r="C11" s="2" t="s">
        <v>372</v>
      </c>
    </row>
    <row r="12" spans="1:3" x14ac:dyDescent="0.3">
      <c r="B12" s="2" t="s">
        <v>86</v>
      </c>
      <c r="C12" s="2" t="s">
        <v>373</v>
      </c>
    </row>
    <row r="13" spans="1:3" x14ac:dyDescent="0.3">
      <c r="B13" s="2" t="s">
        <v>87</v>
      </c>
      <c r="C13" s="2" t="s">
        <v>374</v>
      </c>
    </row>
  </sheetData>
  <phoneticPr fontId="2" type="noConversion"/>
  <hyperlinks>
    <hyperlink ref="A1" location="Contenido!A1" display="Contenido" xr:uid="{6731B68B-E1E3-4D36-9324-60354229E3B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D2AF-1499-4EF1-943F-2DA95DFADA2F}">
  <sheetPr>
    <tabColor theme="5" tint="-0.499984740745262"/>
  </sheetPr>
  <dimension ref="A1:AC48"/>
  <sheetViews>
    <sheetView zoomScale="85" zoomScaleNormal="85" workbookViewId="0">
      <selection activeCell="N6" sqref="N6"/>
    </sheetView>
  </sheetViews>
  <sheetFormatPr baseColWidth="10" defaultColWidth="11.44140625" defaultRowHeight="14.4" x14ac:dyDescent="0.3"/>
  <cols>
    <col min="3" max="3" width="24" bestFit="1" customWidth="1"/>
    <col min="4" max="6" width="14.33203125" bestFit="1" customWidth="1"/>
    <col min="8" max="8" width="27.109375" bestFit="1" customWidth="1"/>
    <col min="13" max="13" width="15.77734375" bestFit="1" customWidth="1"/>
  </cols>
  <sheetData>
    <row r="1" spans="1:25" x14ac:dyDescent="0.3">
      <c r="A1" s="4" t="s">
        <v>32</v>
      </c>
      <c r="C1" t="s">
        <v>344</v>
      </c>
    </row>
    <row r="2" spans="1:25" x14ac:dyDescent="0.3">
      <c r="M2" t="s">
        <v>428</v>
      </c>
    </row>
    <row r="3" spans="1:25" ht="15" x14ac:dyDescent="0.3">
      <c r="C3" t="s">
        <v>352</v>
      </c>
      <c r="D3" s="20" t="s">
        <v>255</v>
      </c>
      <c r="E3" s="20" t="s">
        <v>349</v>
      </c>
      <c r="F3" s="20" t="s">
        <v>350</v>
      </c>
      <c r="H3" t="s">
        <v>353</v>
      </c>
      <c r="I3" s="20" t="s">
        <v>255</v>
      </c>
      <c r="J3" s="20" t="s">
        <v>349</v>
      </c>
      <c r="K3" s="20" t="s">
        <v>350</v>
      </c>
      <c r="N3" s="2">
        <v>1</v>
      </c>
      <c r="O3" s="2">
        <v>2</v>
      </c>
      <c r="P3" s="2">
        <v>3</v>
      </c>
      <c r="Q3" s="2">
        <v>4</v>
      </c>
      <c r="R3" s="2">
        <v>5</v>
      </c>
      <c r="S3" s="2">
        <v>6</v>
      </c>
      <c r="T3" s="2">
        <v>7</v>
      </c>
      <c r="U3" s="2">
        <v>8</v>
      </c>
      <c r="V3" s="2">
        <v>9</v>
      </c>
      <c r="W3" s="2">
        <v>10</v>
      </c>
      <c r="X3" s="2">
        <v>11</v>
      </c>
      <c r="Y3" s="2">
        <v>12</v>
      </c>
    </row>
    <row r="4" spans="1:25" ht="15" x14ac:dyDescent="0.3">
      <c r="C4" s="18" t="s">
        <v>345</v>
      </c>
      <c r="D4" s="2">
        <v>350000</v>
      </c>
      <c r="E4" s="2">
        <v>600000</v>
      </c>
      <c r="F4" s="2">
        <v>450000</v>
      </c>
      <c r="H4" s="18" t="s">
        <v>429</v>
      </c>
      <c r="I4" s="2">
        <v>450</v>
      </c>
      <c r="J4" s="2">
        <v>500</v>
      </c>
      <c r="K4" s="2">
        <v>550</v>
      </c>
      <c r="M4" s="21" t="s">
        <v>255</v>
      </c>
      <c r="N4" s="45">
        <f>+$D$9</f>
        <v>4300000</v>
      </c>
      <c r="O4" s="2">
        <f t="shared" ref="O4:Y4" si="0">+$D$9</f>
        <v>4300000</v>
      </c>
      <c r="P4" s="2">
        <f t="shared" si="0"/>
        <v>4300000</v>
      </c>
      <c r="Q4" s="2">
        <f t="shared" si="0"/>
        <v>4300000</v>
      </c>
      <c r="R4" s="2">
        <f t="shared" si="0"/>
        <v>4300000</v>
      </c>
      <c r="S4" s="2">
        <f t="shared" si="0"/>
        <v>4300000</v>
      </c>
      <c r="T4" s="2">
        <f t="shared" si="0"/>
        <v>4300000</v>
      </c>
      <c r="U4" s="2">
        <f t="shared" si="0"/>
        <v>4300000</v>
      </c>
      <c r="V4" s="2">
        <f t="shared" si="0"/>
        <v>4300000</v>
      </c>
      <c r="W4" s="2">
        <f t="shared" si="0"/>
        <v>4300000</v>
      </c>
      <c r="X4" s="2">
        <f t="shared" si="0"/>
        <v>4300000</v>
      </c>
      <c r="Y4" s="2">
        <f t="shared" si="0"/>
        <v>4300000</v>
      </c>
    </row>
    <row r="5" spans="1:25" ht="15" x14ac:dyDescent="0.3">
      <c r="C5" s="18" t="s">
        <v>346</v>
      </c>
      <c r="D5" s="2">
        <v>550000</v>
      </c>
      <c r="E5" s="2">
        <v>450000</v>
      </c>
      <c r="F5" s="2">
        <v>480000</v>
      </c>
      <c r="M5" s="21" t="s">
        <v>349</v>
      </c>
      <c r="N5" s="2">
        <f>+$E$9</f>
        <v>4450000</v>
      </c>
      <c r="O5" s="2">
        <f t="shared" ref="O5:Y5" si="1">+$E$9</f>
        <v>4450000</v>
      </c>
      <c r="P5" s="2">
        <f t="shared" si="1"/>
        <v>4450000</v>
      </c>
      <c r="Q5" s="2">
        <f t="shared" si="1"/>
        <v>4450000</v>
      </c>
      <c r="R5" s="2">
        <f t="shared" si="1"/>
        <v>4450000</v>
      </c>
      <c r="S5" s="2">
        <f t="shared" si="1"/>
        <v>4450000</v>
      </c>
      <c r="T5" s="2">
        <f t="shared" si="1"/>
        <v>4450000</v>
      </c>
      <c r="U5" s="2">
        <f t="shared" si="1"/>
        <v>4450000</v>
      </c>
      <c r="V5" s="2">
        <f t="shared" si="1"/>
        <v>4450000</v>
      </c>
      <c r="W5" s="2">
        <f t="shared" si="1"/>
        <v>4450000</v>
      </c>
      <c r="X5" s="2">
        <f t="shared" si="1"/>
        <v>4450000</v>
      </c>
      <c r="Y5" s="2">
        <f t="shared" si="1"/>
        <v>4450000</v>
      </c>
    </row>
    <row r="6" spans="1:25" x14ac:dyDescent="0.3">
      <c r="C6" s="18" t="s">
        <v>424</v>
      </c>
      <c r="D6" s="2">
        <v>400000</v>
      </c>
      <c r="E6" s="2">
        <v>400000</v>
      </c>
      <c r="F6" s="2">
        <v>400000</v>
      </c>
      <c r="H6" s="18" t="s">
        <v>425</v>
      </c>
      <c r="I6" s="2">
        <v>120</v>
      </c>
      <c r="J6" s="2">
        <v>110</v>
      </c>
      <c r="K6" s="2">
        <v>115</v>
      </c>
      <c r="M6" s="21" t="s">
        <v>350</v>
      </c>
      <c r="N6" s="2">
        <f>+$F$9</f>
        <v>4330000</v>
      </c>
      <c r="O6" s="2">
        <f t="shared" ref="O6:Y6" si="2">+$F$9</f>
        <v>4330000</v>
      </c>
      <c r="P6" s="2">
        <f t="shared" si="2"/>
        <v>4330000</v>
      </c>
      <c r="Q6" s="2">
        <f t="shared" si="2"/>
        <v>4330000</v>
      </c>
      <c r="R6" s="2">
        <f t="shared" si="2"/>
        <v>4330000</v>
      </c>
      <c r="S6" s="2">
        <f t="shared" si="2"/>
        <v>4330000</v>
      </c>
      <c r="T6" s="2">
        <f t="shared" si="2"/>
        <v>4330000</v>
      </c>
      <c r="U6" s="2">
        <f t="shared" si="2"/>
        <v>4330000</v>
      </c>
      <c r="V6" s="2">
        <f t="shared" si="2"/>
        <v>4330000</v>
      </c>
      <c r="W6" s="2">
        <f t="shared" si="2"/>
        <v>4330000</v>
      </c>
      <c r="X6" s="2">
        <f t="shared" si="2"/>
        <v>4330000</v>
      </c>
      <c r="Y6" s="2">
        <f t="shared" si="2"/>
        <v>4330000</v>
      </c>
    </row>
    <row r="7" spans="1:25" ht="15" x14ac:dyDescent="0.3">
      <c r="C7" s="18" t="s">
        <v>347</v>
      </c>
      <c r="D7" s="2">
        <v>1500000</v>
      </c>
      <c r="E7" s="2">
        <v>1500000</v>
      </c>
      <c r="F7" s="2">
        <v>1500000</v>
      </c>
      <c r="H7" s="18" t="s">
        <v>426</v>
      </c>
      <c r="I7" s="2">
        <v>350</v>
      </c>
      <c r="J7" s="2">
        <v>350</v>
      </c>
      <c r="K7" s="2">
        <v>350</v>
      </c>
    </row>
    <row r="8" spans="1:25" ht="15" x14ac:dyDescent="0.3">
      <c r="C8" s="18" t="s">
        <v>348</v>
      </c>
      <c r="D8" s="2">
        <v>1500000</v>
      </c>
      <c r="E8" s="2">
        <v>1500000</v>
      </c>
      <c r="F8" s="2">
        <v>1500000</v>
      </c>
      <c r="H8" s="18" t="s">
        <v>427</v>
      </c>
      <c r="I8" s="2">
        <v>300</v>
      </c>
      <c r="J8" s="2">
        <v>350</v>
      </c>
      <c r="K8" s="2">
        <v>320</v>
      </c>
    </row>
    <row r="9" spans="1:25" ht="15" x14ac:dyDescent="0.3">
      <c r="C9" s="19" t="s">
        <v>351</v>
      </c>
      <c r="D9" s="44">
        <f>+SUM(D4:D8)</f>
        <v>4300000</v>
      </c>
      <c r="E9" s="44">
        <f>+SUM(E4:E8)</f>
        <v>4450000</v>
      </c>
      <c r="F9" s="44">
        <f>+SUM(F4:F8)</f>
        <v>4330000</v>
      </c>
      <c r="H9" s="36"/>
      <c r="I9" s="35">
        <f>+SUM(I6:I8)</f>
        <v>770</v>
      </c>
      <c r="J9" s="35">
        <f t="shared" ref="J9:K9" si="3">+SUM(J6:J8)</f>
        <v>810</v>
      </c>
      <c r="K9" s="35">
        <f t="shared" si="3"/>
        <v>785</v>
      </c>
      <c r="T9" s="47" t="s">
        <v>375</v>
      </c>
      <c r="U9" s="47"/>
      <c r="V9" s="47"/>
      <c r="W9" s="47"/>
    </row>
    <row r="10" spans="1:25" ht="28.8" x14ac:dyDescent="0.3">
      <c r="M10" s="39"/>
      <c r="T10" s="46" t="s">
        <v>361</v>
      </c>
      <c r="U10" s="24" t="s">
        <v>362</v>
      </c>
      <c r="V10" s="24"/>
      <c r="W10" s="24"/>
    </row>
    <row r="11" spans="1:25" x14ac:dyDescent="0.3">
      <c r="C11" s="22" t="s">
        <v>379</v>
      </c>
      <c r="D11" t="s">
        <v>377</v>
      </c>
      <c r="T11" s="46"/>
      <c r="U11" s="24" t="s">
        <v>363</v>
      </c>
      <c r="V11" s="24"/>
      <c r="W11" s="24"/>
    </row>
    <row r="12" spans="1:25" ht="15" x14ac:dyDescent="0.3">
      <c r="C12" s="22" t="s">
        <v>382</v>
      </c>
      <c r="D12" t="s">
        <v>376</v>
      </c>
      <c r="E12" t="s">
        <v>364</v>
      </c>
      <c r="F12" t="s">
        <v>365</v>
      </c>
      <c r="G12" t="s">
        <v>366</v>
      </c>
      <c r="H12" t="s">
        <v>367</v>
      </c>
      <c r="I12" t="s">
        <v>368</v>
      </c>
      <c r="J12" t="s">
        <v>369</v>
      </c>
      <c r="K12" t="s">
        <v>370</v>
      </c>
      <c r="L12" t="s">
        <v>371</v>
      </c>
      <c r="M12" t="s">
        <v>372</v>
      </c>
      <c r="N12" t="s">
        <v>373</v>
      </c>
      <c r="O12" t="s">
        <v>374</v>
      </c>
      <c r="S12">
        <v>1</v>
      </c>
      <c r="T12" s="23" t="s">
        <v>364</v>
      </c>
      <c r="U12" s="25">
        <v>2025</v>
      </c>
      <c r="V12" s="25"/>
      <c r="W12" s="25"/>
    </row>
    <row r="13" spans="1:25" ht="15" x14ac:dyDescent="0.3">
      <c r="C13" s="22" t="s">
        <v>378</v>
      </c>
      <c r="D13" s="25">
        <v>2025</v>
      </c>
      <c r="E13" s="25">
        <v>2025</v>
      </c>
      <c r="F13" s="25">
        <v>2059</v>
      </c>
      <c r="G13" s="25">
        <v>2078</v>
      </c>
      <c r="H13" s="25">
        <v>2078</v>
      </c>
      <c r="I13" s="25">
        <v>2067</v>
      </c>
      <c r="J13" s="25">
        <v>2065</v>
      </c>
      <c r="K13" s="25">
        <v>2083</v>
      </c>
      <c r="L13" s="25">
        <v>2110</v>
      </c>
      <c r="M13" s="25">
        <v>2148</v>
      </c>
      <c r="N13" s="25">
        <v>2191</v>
      </c>
      <c r="O13" s="25">
        <v>2235</v>
      </c>
      <c r="S13">
        <v>2</v>
      </c>
      <c r="T13" s="23" t="s">
        <v>365</v>
      </c>
      <c r="U13" s="25">
        <v>2059</v>
      </c>
      <c r="V13" s="25"/>
      <c r="W13" s="25"/>
    </row>
    <row r="14" spans="1:25" ht="15" x14ac:dyDescent="0.3">
      <c r="C14" t="s">
        <v>354</v>
      </c>
      <c r="D14">
        <f>U12*8</f>
        <v>16200</v>
      </c>
      <c r="E14">
        <f>8*E13</f>
        <v>16200</v>
      </c>
      <c r="F14">
        <f t="shared" ref="F14:O14" si="4">8*F13</f>
        <v>16472</v>
      </c>
      <c r="G14">
        <f t="shared" si="4"/>
        <v>16624</v>
      </c>
      <c r="H14">
        <f t="shared" si="4"/>
        <v>16624</v>
      </c>
      <c r="I14">
        <f t="shared" si="4"/>
        <v>16536</v>
      </c>
      <c r="J14">
        <f t="shared" si="4"/>
        <v>16520</v>
      </c>
      <c r="K14">
        <f t="shared" si="4"/>
        <v>16664</v>
      </c>
      <c r="L14">
        <f t="shared" si="4"/>
        <v>16880</v>
      </c>
      <c r="M14">
        <f t="shared" si="4"/>
        <v>17184</v>
      </c>
      <c r="N14">
        <f t="shared" si="4"/>
        <v>17528</v>
      </c>
      <c r="O14">
        <f t="shared" si="4"/>
        <v>17880</v>
      </c>
      <c r="S14">
        <v>3</v>
      </c>
      <c r="T14" s="23" t="s">
        <v>366</v>
      </c>
      <c r="U14" s="25">
        <v>2078</v>
      </c>
      <c r="V14" s="25"/>
      <c r="W14" s="25"/>
    </row>
    <row r="15" spans="1:25" ht="15" x14ac:dyDescent="0.3">
      <c r="C15" t="s">
        <v>355</v>
      </c>
      <c r="D15">
        <v>200</v>
      </c>
      <c r="E15">
        <v>200</v>
      </c>
      <c r="F15">
        <v>200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200</v>
      </c>
      <c r="O15">
        <v>200</v>
      </c>
      <c r="S15">
        <v>4</v>
      </c>
      <c r="T15" s="23" t="s">
        <v>367</v>
      </c>
      <c r="U15" s="25">
        <v>2078</v>
      </c>
      <c r="V15" s="25"/>
      <c r="W15" s="25"/>
    </row>
    <row r="16" spans="1:25" ht="15" x14ac:dyDescent="0.3">
      <c r="C16" t="s">
        <v>356</v>
      </c>
      <c r="D16">
        <v>50</v>
      </c>
      <c r="E16">
        <v>50</v>
      </c>
      <c r="F16">
        <v>50</v>
      </c>
      <c r="G16">
        <v>50</v>
      </c>
      <c r="H16">
        <v>50</v>
      </c>
      <c r="I16">
        <v>50</v>
      </c>
      <c r="J16">
        <v>50</v>
      </c>
      <c r="K16">
        <v>50</v>
      </c>
      <c r="L16">
        <v>50</v>
      </c>
      <c r="M16">
        <v>50</v>
      </c>
      <c r="N16">
        <v>50</v>
      </c>
      <c r="O16">
        <v>50</v>
      </c>
      <c r="S16">
        <v>5</v>
      </c>
      <c r="T16" s="23" t="s">
        <v>368</v>
      </c>
      <c r="U16" s="25">
        <v>2067</v>
      </c>
      <c r="V16" s="25"/>
      <c r="W16" s="25"/>
    </row>
    <row r="17" spans="3:29" ht="15" x14ac:dyDescent="0.3">
      <c r="C17" t="s">
        <v>357</v>
      </c>
      <c r="D17">
        <v>121</v>
      </c>
      <c r="E17">
        <v>147</v>
      </c>
      <c r="F17">
        <v>142</v>
      </c>
      <c r="G17">
        <v>143</v>
      </c>
      <c r="H17">
        <v>119</v>
      </c>
      <c r="I17">
        <v>140</v>
      </c>
      <c r="J17">
        <v>139</v>
      </c>
      <c r="K17">
        <v>133</v>
      </c>
      <c r="L17">
        <v>109</v>
      </c>
      <c r="M17">
        <v>105</v>
      </c>
      <c r="N17">
        <v>128</v>
      </c>
      <c r="O17">
        <v>128</v>
      </c>
      <c r="S17">
        <v>6</v>
      </c>
      <c r="T17" s="23" t="s">
        <v>369</v>
      </c>
      <c r="U17" s="25">
        <v>2065</v>
      </c>
      <c r="V17" s="25"/>
      <c r="W17" s="25"/>
    </row>
    <row r="18" spans="3:29" ht="15" x14ac:dyDescent="0.3">
      <c r="C18" t="s">
        <v>358</v>
      </c>
      <c r="D18">
        <v>250</v>
      </c>
      <c r="E18">
        <v>250</v>
      </c>
      <c r="F18">
        <v>250</v>
      </c>
      <c r="G18">
        <v>250</v>
      </c>
      <c r="H18">
        <v>250</v>
      </c>
      <c r="I18">
        <v>250</v>
      </c>
      <c r="J18">
        <v>250</v>
      </c>
      <c r="K18">
        <v>250</v>
      </c>
      <c r="L18">
        <v>250</v>
      </c>
      <c r="M18">
        <v>250</v>
      </c>
      <c r="N18">
        <v>250</v>
      </c>
      <c r="O18">
        <v>250</v>
      </c>
      <c r="S18">
        <v>7</v>
      </c>
      <c r="T18" s="23" t="s">
        <v>370</v>
      </c>
      <c r="U18" s="25">
        <v>2083</v>
      </c>
      <c r="V18" s="25"/>
      <c r="W18" s="25"/>
    </row>
    <row r="19" spans="3:29" ht="15" x14ac:dyDescent="0.3">
      <c r="C19" t="s">
        <v>347</v>
      </c>
      <c r="D19">
        <v>650</v>
      </c>
      <c r="E19">
        <v>650</v>
      </c>
      <c r="F19">
        <v>650</v>
      </c>
      <c r="G19">
        <v>650</v>
      </c>
      <c r="H19">
        <v>650</v>
      </c>
      <c r="I19">
        <v>650</v>
      </c>
      <c r="J19">
        <v>650</v>
      </c>
      <c r="K19">
        <v>650</v>
      </c>
      <c r="L19">
        <v>650</v>
      </c>
      <c r="M19">
        <v>650</v>
      </c>
      <c r="N19">
        <v>650</v>
      </c>
      <c r="O19">
        <v>650</v>
      </c>
      <c r="S19">
        <v>8</v>
      </c>
      <c r="T19" s="23" t="s">
        <v>371</v>
      </c>
      <c r="U19" s="25">
        <v>2110</v>
      </c>
      <c r="V19" s="25"/>
      <c r="W19" s="25"/>
    </row>
    <row r="20" spans="3:29" ht="15" x14ac:dyDescent="0.3">
      <c r="C20" t="s">
        <v>359</v>
      </c>
      <c r="D20">
        <v>777</v>
      </c>
      <c r="E20">
        <v>781</v>
      </c>
      <c r="F20">
        <v>763</v>
      </c>
      <c r="G20">
        <v>784</v>
      </c>
      <c r="H20">
        <v>682</v>
      </c>
      <c r="I20">
        <v>749</v>
      </c>
      <c r="J20">
        <v>652</v>
      </c>
      <c r="K20">
        <v>712</v>
      </c>
      <c r="L20">
        <v>799</v>
      </c>
      <c r="M20">
        <v>770</v>
      </c>
      <c r="N20">
        <v>650</v>
      </c>
      <c r="O20">
        <v>784</v>
      </c>
      <c r="S20">
        <v>9</v>
      </c>
      <c r="T20" s="23" t="s">
        <v>372</v>
      </c>
      <c r="U20" s="25">
        <v>2148</v>
      </c>
      <c r="V20" s="25"/>
      <c r="W20" s="25"/>
    </row>
    <row r="21" spans="3:29" ht="15" x14ac:dyDescent="0.3">
      <c r="C21" t="s">
        <v>360</v>
      </c>
      <c r="D21">
        <f>+SUM(D14:D20)</f>
        <v>18248</v>
      </c>
      <c r="E21">
        <f t="shared" ref="E21:O21" si="5">+SUM(E14:E20)</f>
        <v>18278</v>
      </c>
      <c r="F21">
        <f t="shared" si="5"/>
        <v>18527</v>
      </c>
      <c r="G21">
        <f t="shared" si="5"/>
        <v>18701</v>
      </c>
      <c r="H21">
        <f t="shared" si="5"/>
        <v>18575</v>
      </c>
      <c r="I21">
        <f t="shared" si="5"/>
        <v>18575</v>
      </c>
      <c r="J21">
        <f t="shared" si="5"/>
        <v>18461</v>
      </c>
      <c r="K21">
        <f t="shared" si="5"/>
        <v>18659</v>
      </c>
      <c r="L21">
        <f t="shared" si="5"/>
        <v>18938</v>
      </c>
      <c r="M21">
        <f t="shared" si="5"/>
        <v>19209</v>
      </c>
      <c r="N21">
        <f t="shared" si="5"/>
        <v>19456</v>
      </c>
      <c r="O21">
        <f t="shared" si="5"/>
        <v>19942</v>
      </c>
      <c r="S21">
        <v>10</v>
      </c>
      <c r="T21" s="23" t="s">
        <v>373</v>
      </c>
      <c r="U21" s="25">
        <v>2191</v>
      </c>
      <c r="V21" s="25"/>
      <c r="W21" s="25"/>
    </row>
    <row r="22" spans="3:29" ht="15" x14ac:dyDescent="0.3">
      <c r="D22">
        <v>18248</v>
      </c>
      <c r="E22">
        <v>18278</v>
      </c>
      <c r="F22">
        <v>18527</v>
      </c>
      <c r="G22">
        <v>18701</v>
      </c>
      <c r="H22">
        <v>18575</v>
      </c>
      <c r="I22">
        <v>18575</v>
      </c>
      <c r="J22">
        <v>18461</v>
      </c>
      <c r="K22">
        <v>18659</v>
      </c>
      <c r="L22">
        <v>18938</v>
      </c>
      <c r="M22">
        <v>19209</v>
      </c>
      <c r="N22">
        <v>19456</v>
      </c>
      <c r="O22">
        <v>19942</v>
      </c>
      <c r="S22">
        <v>11</v>
      </c>
      <c r="T22" s="23" t="s">
        <v>374</v>
      </c>
      <c r="U22" s="25">
        <v>2235</v>
      </c>
      <c r="V22" s="25"/>
      <c r="W22" s="25"/>
    </row>
    <row r="24" spans="3:29" ht="14.4" customHeight="1" x14ac:dyDescent="0.3">
      <c r="C24" t="s">
        <v>380</v>
      </c>
      <c r="D24" t="s">
        <v>377</v>
      </c>
    </row>
    <row r="25" spans="3:29" ht="15" x14ac:dyDescent="0.3">
      <c r="C25" s="22" t="s">
        <v>383</v>
      </c>
      <c r="D25" t="s">
        <v>376</v>
      </c>
      <c r="E25" t="s">
        <v>364</v>
      </c>
      <c r="F25" t="s">
        <v>365</v>
      </c>
      <c r="G25" t="s">
        <v>366</v>
      </c>
      <c r="H25" t="s">
        <v>367</v>
      </c>
      <c r="I25" t="s">
        <v>368</v>
      </c>
      <c r="J25" t="s">
        <v>369</v>
      </c>
      <c r="K25" t="s">
        <v>370</v>
      </c>
      <c r="L25" t="s">
        <v>371</v>
      </c>
      <c r="M25" t="s">
        <v>372</v>
      </c>
      <c r="N25" t="s">
        <v>373</v>
      </c>
      <c r="O25" t="s">
        <v>374</v>
      </c>
    </row>
    <row r="26" spans="3:29" ht="15" x14ac:dyDescent="0.3">
      <c r="C26" s="22" t="s">
        <v>378</v>
      </c>
      <c r="D26" s="25">
        <v>2025</v>
      </c>
      <c r="E26" s="25">
        <v>2025</v>
      </c>
      <c r="F26" s="25">
        <v>2059</v>
      </c>
      <c r="G26" s="25">
        <v>2078</v>
      </c>
      <c r="H26" s="25">
        <v>2078</v>
      </c>
      <c r="I26" s="25">
        <v>2067</v>
      </c>
      <c r="J26" s="25">
        <v>2065</v>
      </c>
      <c r="K26" s="25">
        <v>2083</v>
      </c>
      <c r="L26" s="25">
        <v>2110</v>
      </c>
      <c r="M26" s="25">
        <v>2148</v>
      </c>
      <c r="N26" s="25">
        <v>2191</v>
      </c>
      <c r="O26" s="25">
        <v>2235</v>
      </c>
      <c r="R26" s="2">
        <v>1</v>
      </c>
      <c r="S26" s="2">
        <v>2</v>
      </c>
      <c r="T26" s="2">
        <v>3</v>
      </c>
      <c r="U26" s="2">
        <v>4</v>
      </c>
      <c r="V26" s="2">
        <v>5</v>
      </c>
      <c r="W26" s="2">
        <v>6</v>
      </c>
      <c r="X26" s="2">
        <v>7</v>
      </c>
      <c r="Y26" s="2">
        <v>8</v>
      </c>
      <c r="Z26" s="2">
        <v>9</v>
      </c>
      <c r="AA26" s="2">
        <v>10</v>
      </c>
      <c r="AB26" s="2">
        <v>11</v>
      </c>
      <c r="AC26" s="2">
        <v>12</v>
      </c>
    </row>
    <row r="27" spans="3:29" ht="15" x14ac:dyDescent="0.3">
      <c r="C27" t="s">
        <v>354</v>
      </c>
      <c r="D27">
        <f>D26*8</f>
        <v>16200</v>
      </c>
      <c r="E27">
        <f t="shared" ref="E27:O27" si="6">E26*8</f>
        <v>16200</v>
      </c>
      <c r="F27">
        <f t="shared" si="6"/>
        <v>16472</v>
      </c>
      <c r="G27">
        <f t="shared" si="6"/>
        <v>16624</v>
      </c>
      <c r="H27">
        <f t="shared" si="6"/>
        <v>16624</v>
      </c>
      <c r="I27">
        <f t="shared" si="6"/>
        <v>16536</v>
      </c>
      <c r="J27">
        <f t="shared" si="6"/>
        <v>16520</v>
      </c>
      <c r="K27">
        <f t="shared" si="6"/>
        <v>16664</v>
      </c>
      <c r="L27">
        <f t="shared" si="6"/>
        <v>16880</v>
      </c>
      <c r="M27">
        <f t="shared" si="6"/>
        <v>17184</v>
      </c>
      <c r="N27">
        <f t="shared" si="6"/>
        <v>17528</v>
      </c>
      <c r="O27">
        <f t="shared" si="6"/>
        <v>17880</v>
      </c>
      <c r="Q27" s="21" t="s">
        <v>255</v>
      </c>
      <c r="R27" s="2">
        <f t="shared" ref="R27:AC27" si="7">+D21</f>
        <v>18248</v>
      </c>
      <c r="S27" s="2">
        <f t="shared" si="7"/>
        <v>18278</v>
      </c>
      <c r="T27" s="2">
        <f t="shared" si="7"/>
        <v>18527</v>
      </c>
      <c r="U27" s="2">
        <f t="shared" si="7"/>
        <v>18701</v>
      </c>
      <c r="V27" s="2">
        <f>+H21</f>
        <v>18575</v>
      </c>
      <c r="W27" s="2">
        <f>+I21</f>
        <v>18575</v>
      </c>
      <c r="X27" s="2">
        <f>+J21</f>
        <v>18461</v>
      </c>
      <c r="Y27" s="2">
        <f>+K21</f>
        <v>18659</v>
      </c>
      <c r="Z27" s="2">
        <f t="shared" si="7"/>
        <v>18938</v>
      </c>
      <c r="AA27" s="2">
        <f t="shared" si="7"/>
        <v>19209</v>
      </c>
      <c r="AB27" s="2">
        <f t="shared" si="7"/>
        <v>19456</v>
      </c>
      <c r="AC27" s="2">
        <f t="shared" si="7"/>
        <v>19942</v>
      </c>
    </row>
    <row r="28" spans="3:29" ht="15" x14ac:dyDescent="0.3">
      <c r="C28" t="s">
        <v>355</v>
      </c>
      <c r="D28">
        <v>200</v>
      </c>
      <c r="E28">
        <v>200</v>
      </c>
      <c r="F28">
        <v>200</v>
      </c>
      <c r="G28">
        <v>200</v>
      </c>
      <c r="H28">
        <v>200</v>
      </c>
      <c r="I28">
        <v>200</v>
      </c>
      <c r="J28">
        <v>200</v>
      </c>
      <c r="K28">
        <v>200</v>
      </c>
      <c r="L28">
        <v>200</v>
      </c>
      <c r="M28">
        <v>200</v>
      </c>
      <c r="N28">
        <v>200</v>
      </c>
      <c r="O28">
        <v>200</v>
      </c>
      <c r="Q28" s="21" t="s">
        <v>349</v>
      </c>
      <c r="R28" s="2">
        <f t="shared" ref="R28:AC28" si="8">+D34</f>
        <v>18344</v>
      </c>
      <c r="S28" s="2">
        <f t="shared" si="8"/>
        <v>18403</v>
      </c>
      <c r="T28" s="2">
        <f t="shared" si="8"/>
        <v>18632</v>
      </c>
      <c r="U28" s="2">
        <f t="shared" si="8"/>
        <v>18679</v>
      </c>
      <c r="V28" s="2">
        <f>+H34</f>
        <v>18767</v>
      </c>
      <c r="W28" s="2">
        <f>+I34</f>
        <v>18722</v>
      </c>
      <c r="X28" s="2">
        <f>+J34</f>
        <v>18747</v>
      </c>
      <c r="Y28" s="2">
        <f>+K34</f>
        <v>18733</v>
      </c>
      <c r="Z28" s="2">
        <f t="shared" si="8"/>
        <v>18929</v>
      </c>
      <c r="AA28" s="2">
        <f t="shared" si="8"/>
        <v>19281</v>
      </c>
      <c r="AB28" s="2">
        <f t="shared" si="8"/>
        <v>19725</v>
      </c>
      <c r="AC28" s="2">
        <f t="shared" si="8"/>
        <v>20097</v>
      </c>
    </row>
    <row r="29" spans="3:29" ht="15" x14ac:dyDescent="0.3">
      <c r="C29" t="s">
        <v>356</v>
      </c>
      <c r="D29">
        <v>50</v>
      </c>
      <c r="E29">
        <v>50</v>
      </c>
      <c r="F29">
        <v>50</v>
      </c>
      <c r="G29">
        <v>50</v>
      </c>
      <c r="H29">
        <v>50</v>
      </c>
      <c r="I29">
        <v>50</v>
      </c>
      <c r="J29">
        <v>50</v>
      </c>
      <c r="K29">
        <v>50</v>
      </c>
      <c r="L29">
        <v>50</v>
      </c>
      <c r="M29">
        <v>50</v>
      </c>
      <c r="N29">
        <v>50</v>
      </c>
      <c r="O29">
        <v>50</v>
      </c>
      <c r="Q29" s="21" t="s">
        <v>350</v>
      </c>
      <c r="R29" s="2">
        <f t="shared" ref="R29:AC29" si="9">+D47</f>
        <v>18147</v>
      </c>
      <c r="S29" s="2">
        <f t="shared" si="9"/>
        <v>18180</v>
      </c>
      <c r="T29" s="2">
        <f t="shared" si="9"/>
        <v>18490</v>
      </c>
      <c r="U29" s="2">
        <f t="shared" si="9"/>
        <v>18638</v>
      </c>
      <c r="V29" s="2">
        <f>+H47</f>
        <v>18554</v>
      </c>
      <c r="W29" s="2">
        <f>+I47</f>
        <v>18542</v>
      </c>
      <c r="X29" s="2">
        <f>+J47</f>
        <v>18542</v>
      </c>
      <c r="Y29" s="2">
        <f>+K47</f>
        <v>18597</v>
      </c>
      <c r="Z29" s="2">
        <f t="shared" si="9"/>
        <v>18880</v>
      </c>
      <c r="AA29" s="2">
        <f t="shared" si="9"/>
        <v>19161</v>
      </c>
      <c r="AB29" s="2">
        <f t="shared" si="9"/>
        <v>19526</v>
      </c>
      <c r="AC29" s="2">
        <f t="shared" si="9"/>
        <v>19840</v>
      </c>
    </row>
    <row r="30" spans="3:29" ht="15" x14ac:dyDescent="0.3">
      <c r="C30" t="s">
        <v>357</v>
      </c>
      <c r="D30">
        <v>121</v>
      </c>
      <c r="E30">
        <v>147</v>
      </c>
      <c r="F30">
        <v>142</v>
      </c>
      <c r="G30">
        <v>143</v>
      </c>
      <c r="H30">
        <v>119</v>
      </c>
      <c r="I30">
        <v>140</v>
      </c>
      <c r="J30">
        <v>139</v>
      </c>
      <c r="K30">
        <v>133</v>
      </c>
      <c r="L30">
        <v>109</v>
      </c>
      <c r="M30">
        <v>105</v>
      </c>
      <c r="N30">
        <v>128</v>
      </c>
      <c r="O30">
        <v>128</v>
      </c>
      <c r="R30">
        <f t="shared" ref="R30:AC30" si="10">+AVERAGE(R27:R29)</f>
        <v>18246.333333333332</v>
      </c>
      <c r="S30">
        <f t="shared" si="10"/>
        <v>18287</v>
      </c>
      <c r="T30">
        <f t="shared" si="10"/>
        <v>18549.666666666668</v>
      </c>
      <c r="U30">
        <f t="shared" si="10"/>
        <v>18672.666666666668</v>
      </c>
      <c r="V30">
        <f t="shared" si="10"/>
        <v>18632</v>
      </c>
      <c r="W30">
        <f t="shared" si="10"/>
        <v>18613</v>
      </c>
      <c r="X30">
        <f t="shared" si="10"/>
        <v>18583.333333333332</v>
      </c>
      <c r="Y30">
        <f t="shared" si="10"/>
        <v>18663</v>
      </c>
      <c r="Z30">
        <f t="shared" si="10"/>
        <v>18915.666666666668</v>
      </c>
      <c r="AA30">
        <f t="shared" si="10"/>
        <v>19217</v>
      </c>
      <c r="AB30">
        <f t="shared" si="10"/>
        <v>19569</v>
      </c>
      <c r="AC30">
        <f t="shared" si="10"/>
        <v>19959.666666666668</v>
      </c>
    </row>
    <row r="31" spans="3:29" ht="15" x14ac:dyDescent="0.3">
      <c r="C31" t="s">
        <v>358</v>
      </c>
      <c r="D31">
        <v>250</v>
      </c>
      <c r="E31">
        <v>250</v>
      </c>
      <c r="F31">
        <v>250</v>
      </c>
      <c r="G31">
        <v>250</v>
      </c>
      <c r="H31">
        <v>250</v>
      </c>
      <c r="I31">
        <v>250</v>
      </c>
      <c r="J31">
        <v>250</v>
      </c>
      <c r="K31">
        <v>250</v>
      </c>
      <c r="L31">
        <v>250</v>
      </c>
      <c r="M31">
        <v>250</v>
      </c>
      <c r="N31">
        <v>250</v>
      </c>
      <c r="O31">
        <v>250</v>
      </c>
    </row>
    <row r="32" spans="3:29" ht="15" x14ac:dyDescent="0.3">
      <c r="C32" t="s">
        <v>347</v>
      </c>
      <c r="D32">
        <v>800</v>
      </c>
      <c r="E32">
        <v>800</v>
      </c>
      <c r="F32">
        <v>800</v>
      </c>
      <c r="G32">
        <v>800</v>
      </c>
      <c r="H32">
        <v>800</v>
      </c>
      <c r="I32">
        <v>800</v>
      </c>
      <c r="J32">
        <v>800</v>
      </c>
      <c r="K32">
        <v>800</v>
      </c>
      <c r="L32">
        <v>800</v>
      </c>
      <c r="M32">
        <v>800</v>
      </c>
      <c r="N32">
        <v>800</v>
      </c>
      <c r="O32">
        <v>800</v>
      </c>
    </row>
    <row r="33" spans="3:15" ht="15" x14ac:dyDescent="0.3">
      <c r="C33" t="s">
        <v>359</v>
      </c>
      <c r="D33">
        <v>723</v>
      </c>
      <c r="E33">
        <v>756</v>
      </c>
      <c r="F33">
        <v>718</v>
      </c>
      <c r="G33">
        <v>612</v>
      </c>
      <c r="H33">
        <v>724</v>
      </c>
      <c r="I33">
        <v>746</v>
      </c>
      <c r="J33">
        <v>788</v>
      </c>
      <c r="K33">
        <v>636</v>
      </c>
      <c r="L33">
        <v>640</v>
      </c>
      <c r="M33">
        <v>692</v>
      </c>
      <c r="N33">
        <v>769</v>
      </c>
      <c r="O33">
        <v>789</v>
      </c>
    </row>
    <row r="34" spans="3:15" x14ac:dyDescent="0.3">
      <c r="C34" t="s">
        <v>360</v>
      </c>
      <c r="D34">
        <f>+SUM(D27:D33)</f>
        <v>18344</v>
      </c>
      <c r="E34">
        <f t="shared" ref="E34" si="11">+SUM(E27:E33)</f>
        <v>18403</v>
      </c>
      <c r="F34">
        <f t="shared" ref="F34" si="12">+SUM(F27:F33)</f>
        <v>18632</v>
      </c>
      <c r="G34">
        <f t="shared" ref="G34" si="13">+SUM(G27:G33)</f>
        <v>18679</v>
      </c>
      <c r="H34">
        <f t="shared" ref="H34" si="14">+SUM(H27:H33)</f>
        <v>18767</v>
      </c>
      <c r="I34">
        <f t="shared" ref="I34" si="15">+SUM(I27:I33)</f>
        <v>18722</v>
      </c>
      <c r="J34">
        <f t="shared" ref="J34" si="16">+SUM(J27:J33)</f>
        <v>18747</v>
      </c>
      <c r="K34">
        <f t="shared" ref="K34" si="17">+SUM(K27:K33)</f>
        <v>18733</v>
      </c>
      <c r="L34">
        <f t="shared" ref="L34" si="18">+SUM(L27:L33)</f>
        <v>18929</v>
      </c>
      <c r="M34">
        <f t="shared" ref="M34" si="19">+SUM(M27:M33)</f>
        <v>19281</v>
      </c>
      <c r="N34">
        <f t="shared" ref="N34" si="20">+SUM(N27:N33)</f>
        <v>19725</v>
      </c>
      <c r="O34">
        <f t="shared" ref="O34" si="21">+SUM(O27:O33)</f>
        <v>20097</v>
      </c>
    </row>
    <row r="35" spans="3:15" x14ac:dyDescent="0.3">
      <c r="D35">
        <v>18344</v>
      </c>
      <c r="E35">
        <v>18403</v>
      </c>
      <c r="F35">
        <v>18632</v>
      </c>
      <c r="G35">
        <v>18679</v>
      </c>
      <c r="H35">
        <v>18767</v>
      </c>
      <c r="I35">
        <v>18722</v>
      </c>
      <c r="J35">
        <v>18747</v>
      </c>
      <c r="K35">
        <v>18733</v>
      </c>
      <c r="L35">
        <v>18929</v>
      </c>
      <c r="M35">
        <v>19281</v>
      </c>
      <c r="N35">
        <v>19725</v>
      </c>
      <c r="O35">
        <v>20097</v>
      </c>
    </row>
    <row r="37" spans="3:15" x14ac:dyDescent="0.3">
      <c r="C37" t="s">
        <v>381</v>
      </c>
      <c r="D37" t="s">
        <v>377</v>
      </c>
    </row>
    <row r="38" spans="3:15" x14ac:dyDescent="0.3">
      <c r="C38" s="22" t="s">
        <v>383</v>
      </c>
      <c r="D38" t="s">
        <v>376</v>
      </c>
      <c r="E38" t="s">
        <v>364</v>
      </c>
      <c r="F38" t="s">
        <v>365</v>
      </c>
      <c r="G38" t="s">
        <v>366</v>
      </c>
      <c r="H38" t="s">
        <v>367</v>
      </c>
      <c r="I38" t="s">
        <v>368</v>
      </c>
      <c r="J38" t="s">
        <v>369</v>
      </c>
      <c r="K38" t="s">
        <v>370</v>
      </c>
      <c r="L38" t="s">
        <v>371</v>
      </c>
      <c r="M38" t="s">
        <v>372</v>
      </c>
      <c r="N38" t="s">
        <v>373</v>
      </c>
      <c r="O38" t="s">
        <v>374</v>
      </c>
    </row>
    <row r="39" spans="3:15" x14ac:dyDescent="0.3">
      <c r="C39" s="22" t="s">
        <v>378</v>
      </c>
      <c r="D39" s="25">
        <v>2025</v>
      </c>
      <c r="E39" s="25">
        <v>2025</v>
      </c>
      <c r="F39" s="25">
        <v>2059</v>
      </c>
      <c r="G39" s="25">
        <v>2078</v>
      </c>
      <c r="H39" s="25">
        <v>2078</v>
      </c>
      <c r="I39" s="25">
        <v>2067</v>
      </c>
      <c r="J39" s="25">
        <v>2065</v>
      </c>
      <c r="K39" s="25">
        <v>2083</v>
      </c>
      <c r="L39" s="25">
        <v>2110</v>
      </c>
      <c r="M39" s="25">
        <v>2148</v>
      </c>
      <c r="N39" s="25">
        <v>2191</v>
      </c>
      <c r="O39" s="25">
        <v>2235</v>
      </c>
    </row>
    <row r="40" spans="3:15" x14ac:dyDescent="0.3">
      <c r="C40" t="s">
        <v>354</v>
      </c>
      <c r="D40">
        <f>D39*8</f>
        <v>16200</v>
      </c>
      <c r="E40">
        <f>8*E39</f>
        <v>16200</v>
      </c>
      <c r="F40">
        <f t="shared" ref="F40" si="22">8*F39</f>
        <v>16472</v>
      </c>
      <c r="G40">
        <f t="shared" ref="G40" si="23">8*G39</f>
        <v>16624</v>
      </c>
      <c r="H40">
        <f t="shared" ref="H40" si="24">8*H39</f>
        <v>16624</v>
      </c>
      <c r="I40">
        <f t="shared" ref="I40" si="25">8*I39</f>
        <v>16536</v>
      </c>
      <c r="J40">
        <f t="shared" ref="J40" si="26">8*J39</f>
        <v>16520</v>
      </c>
      <c r="K40">
        <f t="shared" ref="K40" si="27">8*K39</f>
        <v>16664</v>
      </c>
      <c r="L40">
        <f t="shared" ref="L40" si="28">8*L39</f>
        <v>16880</v>
      </c>
      <c r="M40">
        <f t="shared" ref="M40" si="29">8*M39</f>
        <v>17184</v>
      </c>
      <c r="N40">
        <f t="shared" ref="N40" si="30">8*N39</f>
        <v>17528</v>
      </c>
      <c r="O40">
        <f t="shared" ref="O40" si="31">8*O39</f>
        <v>17880</v>
      </c>
    </row>
    <row r="41" spans="3:15" x14ac:dyDescent="0.3">
      <c r="C41" t="s">
        <v>355</v>
      </c>
      <c r="D41">
        <v>200</v>
      </c>
      <c r="E41">
        <v>200</v>
      </c>
      <c r="F41">
        <v>200</v>
      </c>
      <c r="G41">
        <v>200</v>
      </c>
      <c r="H41">
        <v>200</v>
      </c>
      <c r="I41">
        <v>200</v>
      </c>
      <c r="J41">
        <v>200</v>
      </c>
      <c r="K41">
        <v>200</v>
      </c>
      <c r="L41">
        <v>200</v>
      </c>
      <c r="M41">
        <v>200</v>
      </c>
      <c r="N41">
        <v>200</v>
      </c>
      <c r="O41">
        <v>200</v>
      </c>
    </row>
    <row r="42" spans="3:15" x14ac:dyDescent="0.3">
      <c r="C42" t="s">
        <v>356</v>
      </c>
      <c r="D42">
        <v>50</v>
      </c>
      <c r="E42">
        <v>50</v>
      </c>
      <c r="F42">
        <v>50</v>
      </c>
      <c r="G42">
        <v>50</v>
      </c>
      <c r="H42">
        <v>50</v>
      </c>
      <c r="I42">
        <v>50</v>
      </c>
      <c r="J42">
        <v>50</v>
      </c>
      <c r="K42">
        <v>50</v>
      </c>
      <c r="L42">
        <v>50</v>
      </c>
      <c r="M42">
        <v>50</v>
      </c>
      <c r="N42">
        <v>50</v>
      </c>
      <c r="O42">
        <v>50</v>
      </c>
    </row>
    <row r="43" spans="3:15" x14ac:dyDescent="0.3">
      <c r="C43" t="s">
        <v>357</v>
      </c>
      <c r="D43">
        <v>121</v>
      </c>
      <c r="E43">
        <v>147</v>
      </c>
      <c r="F43">
        <v>142</v>
      </c>
      <c r="G43">
        <v>143</v>
      </c>
      <c r="H43">
        <v>119</v>
      </c>
      <c r="I43">
        <v>140</v>
      </c>
      <c r="J43">
        <v>139</v>
      </c>
      <c r="K43">
        <v>133</v>
      </c>
      <c r="L43">
        <v>109</v>
      </c>
      <c r="M43">
        <v>105</v>
      </c>
      <c r="N43">
        <v>128</v>
      </c>
      <c r="O43">
        <v>128</v>
      </c>
    </row>
    <row r="44" spans="3:15" x14ac:dyDescent="0.3">
      <c r="C44" t="s">
        <v>358</v>
      </c>
      <c r="D44">
        <v>250</v>
      </c>
      <c r="E44">
        <v>250</v>
      </c>
      <c r="F44">
        <v>250</v>
      </c>
      <c r="G44">
        <v>250</v>
      </c>
      <c r="H44">
        <v>250</v>
      </c>
      <c r="I44">
        <v>250</v>
      </c>
      <c r="J44">
        <v>250</v>
      </c>
      <c r="K44">
        <v>250</v>
      </c>
      <c r="L44">
        <v>250</v>
      </c>
      <c r="M44">
        <v>250</v>
      </c>
      <c r="N44">
        <v>250</v>
      </c>
      <c r="O44">
        <v>250</v>
      </c>
    </row>
    <row r="45" spans="3:15" x14ac:dyDescent="0.3">
      <c r="C45" t="s">
        <v>347</v>
      </c>
      <c r="D45">
        <v>700</v>
      </c>
      <c r="E45">
        <v>700</v>
      </c>
      <c r="F45">
        <v>700</v>
      </c>
      <c r="G45">
        <v>700</v>
      </c>
      <c r="H45">
        <v>700</v>
      </c>
      <c r="I45">
        <v>700</v>
      </c>
      <c r="J45">
        <v>700</v>
      </c>
      <c r="K45">
        <v>700</v>
      </c>
      <c r="L45">
        <v>700</v>
      </c>
      <c r="M45">
        <v>700</v>
      </c>
      <c r="N45">
        <v>700</v>
      </c>
      <c r="O45">
        <v>700</v>
      </c>
    </row>
    <row r="46" spans="3:15" x14ac:dyDescent="0.3">
      <c r="C46" t="s">
        <v>359</v>
      </c>
      <c r="D46">
        <v>626</v>
      </c>
      <c r="E46">
        <v>633</v>
      </c>
      <c r="F46">
        <v>676</v>
      </c>
      <c r="G46">
        <v>671</v>
      </c>
      <c r="H46">
        <v>611</v>
      </c>
      <c r="I46">
        <v>666</v>
      </c>
      <c r="J46">
        <v>683</v>
      </c>
      <c r="K46">
        <v>600</v>
      </c>
      <c r="L46">
        <v>691</v>
      </c>
      <c r="M46">
        <v>672</v>
      </c>
      <c r="N46">
        <v>670</v>
      </c>
      <c r="O46">
        <v>632</v>
      </c>
    </row>
    <row r="47" spans="3:15" x14ac:dyDescent="0.3">
      <c r="C47" t="s">
        <v>360</v>
      </c>
      <c r="D47">
        <f>+SUM(D40:D46)</f>
        <v>18147</v>
      </c>
      <c r="E47">
        <f t="shared" ref="E47" si="32">+SUM(E40:E46)</f>
        <v>18180</v>
      </c>
      <c r="F47">
        <f t="shared" ref="F47" si="33">+SUM(F40:F46)</f>
        <v>18490</v>
      </c>
      <c r="G47">
        <f t="shared" ref="G47" si="34">+SUM(G40:G46)</f>
        <v>18638</v>
      </c>
      <c r="H47">
        <f t="shared" ref="H47" si="35">+SUM(H40:H46)</f>
        <v>18554</v>
      </c>
      <c r="I47">
        <f t="shared" ref="I47" si="36">+SUM(I40:I46)</f>
        <v>18542</v>
      </c>
      <c r="J47">
        <f t="shared" ref="J47" si="37">+SUM(J40:J46)</f>
        <v>18542</v>
      </c>
      <c r="K47">
        <f t="shared" ref="K47" si="38">+SUM(K40:K46)</f>
        <v>18597</v>
      </c>
      <c r="L47">
        <f t="shared" ref="L47" si="39">+SUM(L40:L46)</f>
        <v>18880</v>
      </c>
      <c r="M47">
        <f t="shared" ref="M47" si="40">+SUM(M40:M46)</f>
        <v>19161</v>
      </c>
      <c r="N47">
        <f t="shared" ref="N47" si="41">+SUM(N40:N46)</f>
        <v>19526</v>
      </c>
      <c r="O47">
        <f t="shared" ref="O47" si="42">+SUM(O40:O46)</f>
        <v>19840</v>
      </c>
    </row>
    <row r="48" spans="3:15" x14ac:dyDescent="0.3">
      <c r="D48">
        <v>18147</v>
      </c>
      <c r="E48">
        <v>18180</v>
      </c>
      <c r="F48">
        <v>18490</v>
      </c>
      <c r="G48">
        <v>18638</v>
      </c>
      <c r="H48">
        <v>18554</v>
      </c>
      <c r="I48">
        <v>18542</v>
      </c>
      <c r="J48">
        <v>18542</v>
      </c>
      <c r="K48">
        <v>18597</v>
      </c>
      <c r="L48">
        <v>18880</v>
      </c>
      <c r="M48">
        <v>19161</v>
      </c>
      <c r="N48">
        <v>19526</v>
      </c>
      <c r="O48">
        <v>19840</v>
      </c>
    </row>
  </sheetData>
  <mergeCells count="2">
    <mergeCell ref="T10:T11"/>
    <mergeCell ref="T9:W9"/>
  </mergeCells>
  <phoneticPr fontId="2" type="noConversion"/>
  <hyperlinks>
    <hyperlink ref="A1" location="Contenido!A1" display="Contenido" xr:uid="{055271F9-2108-4752-AE4D-3B55EC6F0240}"/>
  </hyperlink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D6D2-8993-4639-8CED-96D73FFA751D}">
  <dimension ref="A1:N50"/>
  <sheetViews>
    <sheetView workbookViewId="0">
      <selection activeCell="N51" sqref="N51"/>
    </sheetView>
  </sheetViews>
  <sheetFormatPr baseColWidth="10" defaultColWidth="11.44140625" defaultRowHeight="14.4" x14ac:dyDescent="0.3"/>
  <cols>
    <col min="2" max="2" width="23.109375" bestFit="1" customWidth="1"/>
    <col min="3" max="5" width="7" bestFit="1" customWidth="1"/>
    <col min="6" max="14" width="7.6640625" customWidth="1"/>
  </cols>
  <sheetData>
    <row r="1" spans="1:14" x14ac:dyDescent="0.3">
      <c r="A1" s="4" t="s">
        <v>32</v>
      </c>
      <c r="B1" s="1" t="s">
        <v>44</v>
      </c>
      <c r="C1" s="30" t="s">
        <v>393</v>
      </c>
      <c r="D1" s="31"/>
      <c r="E1" s="31"/>
    </row>
    <row r="2" spans="1:14" x14ac:dyDescent="0.3">
      <c r="B2" s="2"/>
      <c r="C2" s="2" t="s">
        <v>40</v>
      </c>
      <c r="D2" s="2" t="s">
        <v>41</v>
      </c>
      <c r="E2" s="2" t="s">
        <v>42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85</v>
      </c>
      <c r="M2" s="2" t="s">
        <v>86</v>
      </c>
      <c r="N2" s="2" t="s">
        <v>87</v>
      </c>
    </row>
    <row r="3" spans="1:14" x14ac:dyDescent="0.3">
      <c r="B3" s="33" t="s">
        <v>290</v>
      </c>
      <c r="C3" s="2">
        <v>18248</v>
      </c>
      <c r="D3" s="2">
        <v>18278</v>
      </c>
      <c r="E3" s="2">
        <v>18527</v>
      </c>
      <c r="F3" s="2">
        <v>18701</v>
      </c>
      <c r="G3" s="2">
        <v>18575</v>
      </c>
      <c r="H3" s="2">
        <v>18575</v>
      </c>
      <c r="I3" s="2">
        <v>18461</v>
      </c>
      <c r="J3" s="2">
        <v>18659</v>
      </c>
      <c r="K3" s="2">
        <v>18938</v>
      </c>
      <c r="L3" s="2">
        <v>19209</v>
      </c>
      <c r="M3" s="2">
        <v>19456</v>
      </c>
      <c r="N3" s="2">
        <v>19942</v>
      </c>
    </row>
    <row r="4" spans="1:14" x14ac:dyDescent="0.3">
      <c r="B4" s="33" t="s">
        <v>291</v>
      </c>
      <c r="C4" s="2">
        <v>18248</v>
      </c>
      <c r="D4" s="2">
        <v>18278</v>
      </c>
      <c r="E4" s="2">
        <v>18527</v>
      </c>
      <c r="F4" s="2">
        <v>18701</v>
      </c>
      <c r="G4" s="2">
        <v>18575</v>
      </c>
      <c r="H4" s="2">
        <v>18575</v>
      </c>
      <c r="I4" s="2">
        <v>18461</v>
      </c>
      <c r="J4" s="2">
        <v>18659</v>
      </c>
      <c r="K4" s="2">
        <v>18938</v>
      </c>
      <c r="L4" s="2">
        <v>19209</v>
      </c>
      <c r="M4" s="2">
        <v>19456</v>
      </c>
      <c r="N4" s="2">
        <v>19942</v>
      </c>
    </row>
    <row r="5" spans="1:14" x14ac:dyDescent="0.3">
      <c r="B5" s="33" t="s">
        <v>292</v>
      </c>
      <c r="C5" s="2">
        <v>18248</v>
      </c>
      <c r="D5" s="2">
        <v>18278</v>
      </c>
      <c r="E5" s="2">
        <v>18527</v>
      </c>
      <c r="F5" s="2">
        <v>18701</v>
      </c>
      <c r="G5" s="2">
        <v>18575</v>
      </c>
      <c r="H5" s="2">
        <v>18575</v>
      </c>
      <c r="I5" s="2">
        <v>18461</v>
      </c>
      <c r="J5" s="2">
        <v>18659</v>
      </c>
      <c r="K5" s="2">
        <v>18938</v>
      </c>
      <c r="L5" s="2">
        <v>19209</v>
      </c>
      <c r="M5" s="2">
        <v>19456</v>
      </c>
      <c r="N5" s="2">
        <v>19942</v>
      </c>
    </row>
    <row r="6" spans="1:14" x14ac:dyDescent="0.3">
      <c r="B6" s="33" t="s">
        <v>293</v>
      </c>
      <c r="C6" s="2">
        <v>18248</v>
      </c>
      <c r="D6" s="2">
        <v>18278</v>
      </c>
      <c r="E6" s="2">
        <v>18527</v>
      </c>
      <c r="F6" s="2">
        <v>18701</v>
      </c>
      <c r="G6" s="2">
        <v>18575</v>
      </c>
      <c r="H6" s="2">
        <v>18575</v>
      </c>
      <c r="I6" s="2">
        <v>18461</v>
      </c>
      <c r="J6" s="2">
        <v>18659</v>
      </c>
      <c r="K6" s="2">
        <v>18938</v>
      </c>
      <c r="L6" s="2">
        <v>19209</v>
      </c>
      <c r="M6" s="2">
        <v>19456</v>
      </c>
      <c r="N6" s="2">
        <v>19942</v>
      </c>
    </row>
    <row r="7" spans="1:14" x14ac:dyDescent="0.3">
      <c r="B7" s="33" t="s">
        <v>294</v>
      </c>
      <c r="C7" s="2">
        <v>18248</v>
      </c>
      <c r="D7" s="2">
        <v>18278</v>
      </c>
      <c r="E7" s="2">
        <v>18527</v>
      </c>
      <c r="F7" s="2">
        <v>18701</v>
      </c>
      <c r="G7" s="2">
        <v>18575</v>
      </c>
      <c r="H7" s="2">
        <v>18575</v>
      </c>
      <c r="I7" s="2">
        <v>18461</v>
      </c>
      <c r="J7" s="2">
        <v>18659</v>
      </c>
      <c r="K7" s="2">
        <v>18938</v>
      </c>
      <c r="L7" s="2">
        <v>19209</v>
      </c>
      <c r="M7" s="2">
        <v>19456</v>
      </c>
      <c r="N7" s="2">
        <v>19942</v>
      </c>
    </row>
    <row r="8" spans="1:14" x14ac:dyDescent="0.3">
      <c r="B8" s="33" t="s">
        <v>295</v>
      </c>
      <c r="C8" s="2">
        <v>18248</v>
      </c>
      <c r="D8" s="2">
        <v>18278</v>
      </c>
      <c r="E8" s="2">
        <v>18527</v>
      </c>
      <c r="F8" s="2">
        <v>18701</v>
      </c>
      <c r="G8" s="2">
        <v>18575</v>
      </c>
      <c r="H8" s="2">
        <v>18575</v>
      </c>
      <c r="I8" s="2">
        <v>18461</v>
      </c>
      <c r="J8" s="2">
        <v>18659</v>
      </c>
      <c r="K8" s="2">
        <v>18938</v>
      </c>
      <c r="L8" s="2">
        <v>19209</v>
      </c>
      <c r="M8" s="2">
        <v>19456</v>
      </c>
      <c r="N8" s="2">
        <v>19942</v>
      </c>
    </row>
    <row r="9" spans="1:14" x14ac:dyDescent="0.3">
      <c r="B9" s="33" t="s">
        <v>296</v>
      </c>
      <c r="C9" s="2">
        <v>18248</v>
      </c>
      <c r="D9" s="2">
        <v>18278</v>
      </c>
      <c r="E9" s="2">
        <v>18527</v>
      </c>
      <c r="F9" s="2">
        <v>18701</v>
      </c>
      <c r="G9" s="2">
        <v>18575</v>
      </c>
      <c r="H9" s="2">
        <v>18575</v>
      </c>
      <c r="I9" s="2">
        <v>18461</v>
      </c>
      <c r="J9" s="2">
        <v>18659</v>
      </c>
      <c r="K9" s="2">
        <v>18938</v>
      </c>
      <c r="L9" s="2">
        <v>19209</v>
      </c>
      <c r="M9" s="2">
        <v>19456</v>
      </c>
      <c r="N9" s="2">
        <v>19942</v>
      </c>
    </row>
    <row r="10" spans="1:14" x14ac:dyDescent="0.3">
      <c r="B10" s="33" t="s">
        <v>297</v>
      </c>
      <c r="C10" s="2">
        <v>18248</v>
      </c>
      <c r="D10" s="2">
        <v>18278</v>
      </c>
      <c r="E10" s="2">
        <v>18527</v>
      </c>
      <c r="F10" s="2">
        <v>18701</v>
      </c>
      <c r="G10" s="2">
        <v>18575</v>
      </c>
      <c r="H10" s="2">
        <v>18575</v>
      </c>
      <c r="I10" s="2">
        <v>18461</v>
      </c>
      <c r="J10" s="2">
        <v>18659</v>
      </c>
      <c r="K10" s="2">
        <v>18938</v>
      </c>
      <c r="L10" s="2">
        <v>19209</v>
      </c>
      <c r="M10" s="2">
        <v>19456</v>
      </c>
      <c r="N10" s="2">
        <v>19942</v>
      </c>
    </row>
    <row r="11" spans="1:14" x14ac:dyDescent="0.3">
      <c r="B11" s="33" t="s">
        <v>298</v>
      </c>
      <c r="C11" s="2">
        <v>18248</v>
      </c>
      <c r="D11" s="2">
        <v>18278</v>
      </c>
      <c r="E11" s="2">
        <v>18527</v>
      </c>
      <c r="F11" s="2">
        <v>18701</v>
      </c>
      <c r="G11" s="2">
        <v>18575</v>
      </c>
      <c r="H11" s="2">
        <v>18575</v>
      </c>
      <c r="I11" s="2">
        <v>18461</v>
      </c>
      <c r="J11" s="2">
        <v>18659</v>
      </c>
      <c r="K11" s="2">
        <v>18938</v>
      </c>
      <c r="L11" s="2">
        <v>19209</v>
      </c>
      <c r="M11" s="2">
        <v>19456</v>
      </c>
      <c r="N11" s="2">
        <v>19942</v>
      </c>
    </row>
    <row r="12" spans="1:14" x14ac:dyDescent="0.3">
      <c r="B12" s="33" t="s">
        <v>299</v>
      </c>
      <c r="C12" s="2">
        <v>18344</v>
      </c>
      <c r="D12" s="2">
        <v>18403</v>
      </c>
      <c r="E12" s="2">
        <v>18632</v>
      </c>
      <c r="F12" s="2">
        <v>18679</v>
      </c>
      <c r="G12" s="2">
        <v>18767</v>
      </c>
      <c r="H12" s="2">
        <v>18722</v>
      </c>
      <c r="I12" s="2">
        <v>18747</v>
      </c>
      <c r="J12" s="2">
        <v>18733</v>
      </c>
      <c r="K12" s="2">
        <v>18929</v>
      </c>
      <c r="L12" s="2">
        <v>19281</v>
      </c>
      <c r="M12" s="2">
        <v>19725</v>
      </c>
      <c r="N12" s="2">
        <v>20097</v>
      </c>
    </row>
    <row r="13" spans="1:14" x14ac:dyDescent="0.3">
      <c r="B13" s="33" t="s">
        <v>300</v>
      </c>
      <c r="C13" s="2">
        <v>18344</v>
      </c>
      <c r="D13" s="2">
        <v>18403</v>
      </c>
      <c r="E13" s="2">
        <v>18632</v>
      </c>
      <c r="F13" s="2">
        <v>18679</v>
      </c>
      <c r="G13" s="2">
        <v>18767</v>
      </c>
      <c r="H13" s="2">
        <v>18722</v>
      </c>
      <c r="I13" s="2">
        <v>18747</v>
      </c>
      <c r="J13" s="2">
        <v>18733</v>
      </c>
      <c r="K13" s="2">
        <v>18929</v>
      </c>
      <c r="L13" s="2">
        <v>19281</v>
      </c>
      <c r="M13" s="2">
        <v>19725</v>
      </c>
      <c r="N13" s="2">
        <v>20097</v>
      </c>
    </row>
    <row r="14" spans="1:14" x14ac:dyDescent="0.3">
      <c r="B14" s="33" t="s">
        <v>301</v>
      </c>
      <c r="C14" s="2">
        <v>18344</v>
      </c>
      <c r="D14" s="2">
        <v>18403</v>
      </c>
      <c r="E14" s="2">
        <v>18632</v>
      </c>
      <c r="F14" s="2">
        <v>18679</v>
      </c>
      <c r="G14" s="2">
        <v>18767</v>
      </c>
      <c r="H14" s="2">
        <v>18722</v>
      </c>
      <c r="I14" s="2">
        <v>18747</v>
      </c>
      <c r="J14" s="2">
        <v>18733</v>
      </c>
      <c r="K14" s="2">
        <v>18929</v>
      </c>
      <c r="L14" s="2">
        <v>19281</v>
      </c>
      <c r="M14" s="2">
        <v>19725</v>
      </c>
      <c r="N14" s="2">
        <v>20097</v>
      </c>
    </row>
    <row r="15" spans="1:14" x14ac:dyDescent="0.3">
      <c r="B15" s="33" t="s">
        <v>302</v>
      </c>
      <c r="C15" s="2">
        <v>18344</v>
      </c>
      <c r="D15" s="2">
        <v>18403</v>
      </c>
      <c r="E15" s="2">
        <v>18632</v>
      </c>
      <c r="F15" s="2">
        <v>18679</v>
      </c>
      <c r="G15" s="2">
        <v>18767</v>
      </c>
      <c r="H15" s="2">
        <v>18722</v>
      </c>
      <c r="I15" s="2">
        <v>18747</v>
      </c>
      <c r="J15" s="2">
        <v>18733</v>
      </c>
      <c r="K15" s="2">
        <v>18929</v>
      </c>
      <c r="L15" s="2">
        <v>19281</v>
      </c>
      <c r="M15" s="2">
        <v>19725</v>
      </c>
      <c r="N15" s="2">
        <v>20097</v>
      </c>
    </row>
    <row r="16" spans="1:14" x14ac:dyDescent="0.3">
      <c r="B16" s="33" t="s">
        <v>303</v>
      </c>
      <c r="C16" s="2">
        <v>18344</v>
      </c>
      <c r="D16" s="2">
        <v>18403</v>
      </c>
      <c r="E16" s="2">
        <v>18632</v>
      </c>
      <c r="F16" s="2">
        <v>18679</v>
      </c>
      <c r="G16" s="2">
        <v>18767</v>
      </c>
      <c r="H16" s="2">
        <v>18722</v>
      </c>
      <c r="I16" s="2">
        <v>18747</v>
      </c>
      <c r="J16" s="2">
        <v>18733</v>
      </c>
      <c r="K16" s="2">
        <v>18929</v>
      </c>
      <c r="L16" s="2">
        <v>19281</v>
      </c>
      <c r="M16" s="2">
        <v>19725</v>
      </c>
      <c r="N16" s="2">
        <v>20097</v>
      </c>
    </row>
    <row r="17" spans="2:14" x14ac:dyDescent="0.3">
      <c r="B17" s="33" t="s">
        <v>304</v>
      </c>
      <c r="C17" s="2">
        <v>18344</v>
      </c>
      <c r="D17" s="2">
        <v>18403</v>
      </c>
      <c r="E17" s="2">
        <v>18632</v>
      </c>
      <c r="F17" s="2">
        <v>18679</v>
      </c>
      <c r="G17" s="2">
        <v>18767</v>
      </c>
      <c r="H17" s="2">
        <v>18722</v>
      </c>
      <c r="I17" s="2">
        <v>18747</v>
      </c>
      <c r="J17" s="2">
        <v>18733</v>
      </c>
      <c r="K17" s="2">
        <v>18929</v>
      </c>
      <c r="L17" s="2">
        <v>19281</v>
      </c>
      <c r="M17" s="2">
        <v>19725</v>
      </c>
      <c r="N17" s="2">
        <v>20097</v>
      </c>
    </row>
    <row r="18" spans="2:14" x14ac:dyDescent="0.3">
      <c r="B18" s="33" t="s">
        <v>305</v>
      </c>
      <c r="C18" s="2">
        <v>18344</v>
      </c>
      <c r="D18" s="2">
        <v>18403</v>
      </c>
      <c r="E18" s="2">
        <v>18632</v>
      </c>
      <c r="F18" s="2">
        <v>18679</v>
      </c>
      <c r="G18" s="2">
        <v>18767</v>
      </c>
      <c r="H18" s="2">
        <v>18722</v>
      </c>
      <c r="I18" s="2">
        <v>18747</v>
      </c>
      <c r="J18" s="2">
        <v>18733</v>
      </c>
      <c r="K18" s="2">
        <v>18929</v>
      </c>
      <c r="L18" s="2">
        <v>19281</v>
      </c>
      <c r="M18" s="2">
        <v>19725</v>
      </c>
      <c r="N18" s="2">
        <v>20097</v>
      </c>
    </row>
    <row r="19" spans="2:14" x14ac:dyDescent="0.3">
      <c r="B19" s="33" t="s">
        <v>306</v>
      </c>
      <c r="C19" s="2">
        <v>18344</v>
      </c>
      <c r="D19" s="2">
        <v>18403</v>
      </c>
      <c r="E19" s="2">
        <v>18632</v>
      </c>
      <c r="F19" s="2">
        <v>18679</v>
      </c>
      <c r="G19" s="2">
        <v>18767</v>
      </c>
      <c r="H19" s="2">
        <v>18722</v>
      </c>
      <c r="I19" s="2">
        <v>18747</v>
      </c>
      <c r="J19" s="2">
        <v>18733</v>
      </c>
      <c r="K19" s="2">
        <v>18929</v>
      </c>
      <c r="L19" s="2">
        <v>19281</v>
      </c>
      <c r="M19" s="2">
        <v>19725</v>
      </c>
      <c r="N19" s="2">
        <v>20097</v>
      </c>
    </row>
    <row r="20" spans="2:14" x14ac:dyDescent="0.3">
      <c r="B20" s="33" t="s">
        <v>307</v>
      </c>
      <c r="C20" s="2">
        <v>18344</v>
      </c>
      <c r="D20" s="2">
        <v>18403</v>
      </c>
      <c r="E20" s="2">
        <v>18632</v>
      </c>
      <c r="F20" s="2">
        <v>18679</v>
      </c>
      <c r="G20" s="2">
        <v>18767</v>
      </c>
      <c r="H20" s="2">
        <v>18722</v>
      </c>
      <c r="I20" s="2">
        <v>18747</v>
      </c>
      <c r="J20" s="2">
        <v>18733</v>
      </c>
      <c r="K20" s="2">
        <v>18929</v>
      </c>
      <c r="L20" s="2">
        <v>19281</v>
      </c>
      <c r="M20" s="2">
        <v>19725</v>
      </c>
      <c r="N20" s="2">
        <v>20097</v>
      </c>
    </row>
    <row r="21" spans="2:14" x14ac:dyDescent="0.3">
      <c r="B21" s="33" t="s">
        <v>308</v>
      </c>
      <c r="C21" s="2">
        <v>18344</v>
      </c>
      <c r="D21" s="2">
        <v>18403</v>
      </c>
      <c r="E21" s="2">
        <v>18632</v>
      </c>
      <c r="F21" s="2">
        <v>18679</v>
      </c>
      <c r="G21" s="2">
        <v>18767</v>
      </c>
      <c r="H21" s="2">
        <v>18722</v>
      </c>
      <c r="I21" s="2">
        <v>18747</v>
      </c>
      <c r="J21" s="2">
        <v>18733</v>
      </c>
      <c r="K21" s="2">
        <v>18929</v>
      </c>
      <c r="L21" s="2">
        <v>19281</v>
      </c>
      <c r="M21" s="2">
        <v>19725</v>
      </c>
      <c r="N21" s="2">
        <v>20097</v>
      </c>
    </row>
    <row r="22" spans="2:14" x14ac:dyDescent="0.3">
      <c r="B22" s="33" t="s">
        <v>309</v>
      </c>
      <c r="C22" s="2">
        <v>18344</v>
      </c>
      <c r="D22" s="2">
        <v>18403</v>
      </c>
      <c r="E22" s="2">
        <v>18632</v>
      </c>
      <c r="F22" s="2">
        <v>18679</v>
      </c>
      <c r="G22" s="2">
        <v>18767</v>
      </c>
      <c r="H22" s="2">
        <v>18722</v>
      </c>
      <c r="I22" s="2">
        <v>18747</v>
      </c>
      <c r="J22" s="2">
        <v>18733</v>
      </c>
      <c r="K22" s="2">
        <v>18929</v>
      </c>
      <c r="L22" s="2">
        <v>19281</v>
      </c>
      <c r="M22" s="2">
        <v>19725</v>
      </c>
      <c r="N22" s="2">
        <v>20097</v>
      </c>
    </row>
    <row r="23" spans="2:14" x14ac:dyDescent="0.3">
      <c r="B23" s="33" t="s">
        <v>310</v>
      </c>
      <c r="C23" s="2">
        <v>18344</v>
      </c>
      <c r="D23" s="2">
        <v>18403</v>
      </c>
      <c r="E23" s="2">
        <v>18632</v>
      </c>
      <c r="F23" s="2">
        <v>18679</v>
      </c>
      <c r="G23" s="2">
        <v>18767</v>
      </c>
      <c r="H23" s="2">
        <v>18722</v>
      </c>
      <c r="I23" s="2">
        <v>18747</v>
      </c>
      <c r="J23" s="2">
        <v>18733</v>
      </c>
      <c r="K23" s="2">
        <v>18929</v>
      </c>
      <c r="L23" s="2">
        <v>19281</v>
      </c>
      <c r="M23" s="2">
        <v>19725</v>
      </c>
      <c r="N23" s="2">
        <v>20097</v>
      </c>
    </row>
    <row r="24" spans="2:14" x14ac:dyDescent="0.3">
      <c r="B24" s="33" t="s">
        <v>311</v>
      </c>
      <c r="C24" s="2">
        <v>18147</v>
      </c>
      <c r="D24" s="2">
        <v>18180</v>
      </c>
      <c r="E24" s="2">
        <v>18490</v>
      </c>
      <c r="F24" s="2">
        <v>18638</v>
      </c>
      <c r="G24" s="2">
        <v>18554</v>
      </c>
      <c r="H24" s="2">
        <v>18542</v>
      </c>
      <c r="I24" s="2">
        <v>18542</v>
      </c>
      <c r="J24" s="2">
        <v>18597</v>
      </c>
      <c r="K24" s="2">
        <v>18880</v>
      </c>
      <c r="L24" s="2">
        <v>19161</v>
      </c>
      <c r="M24" s="2">
        <v>19526</v>
      </c>
      <c r="N24" s="2">
        <v>19840</v>
      </c>
    </row>
    <row r="25" spans="2:14" x14ac:dyDescent="0.3">
      <c r="B25" s="33" t="s">
        <v>312</v>
      </c>
      <c r="C25" s="2">
        <v>18147</v>
      </c>
      <c r="D25" s="2">
        <v>18180</v>
      </c>
      <c r="E25" s="2">
        <v>18490</v>
      </c>
      <c r="F25" s="2">
        <v>18638</v>
      </c>
      <c r="G25" s="2">
        <v>18554</v>
      </c>
      <c r="H25" s="2">
        <v>18542</v>
      </c>
      <c r="I25" s="2">
        <v>18542</v>
      </c>
      <c r="J25" s="2">
        <v>18597</v>
      </c>
      <c r="K25" s="2">
        <v>18880</v>
      </c>
      <c r="L25" s="2">
        <v>19161</v>
      </c>
      <c r="M25" s="2">
        <v>19526</v>
      </c>
      <c r="N25" s="2">
        <v>19840</v>
      </c>
    </row>
    <row r="26" spans="2:14" x14ac:dyDescent="0.3">
      <c r="B26" s="33" t="s">
        <v>313</v>
      </c>
      <c r="C26" s="2">
        <v>18147</v>
      </c>
      <c r="D26" s="2">
        <v>18180</v>
      </c>
      <c r="E26" s="2">
        <v>18490</v>
      </c>
      <c r="F26" s="2">
        <v>18638</v>
      </c>
      <c r="G26" s="2">
        <v>18554</v>
      </c>
      <c r="H26" s="2">
        <v>18542</v>
      </c>
      <c r="I26" s="2">
        <v>18542</v>
      </c>
      <c r="J26" s="2">
        <v>18597</v>
      </c>
      <c r="K26" s="2">
        <v>18880</v>
      </c>
      <c r="L26" s="2">
        <v>19161</v>
      </c>
      <c r="M26" s="2">
        <v>19526</v>
      </c>
      <c r="N26" s="2">
        <v>19840</v>
      </c>
    </row>
    <row r="27" spans="2:14" x14ac:dyDescent="0.3">
      <c r="B27" s="33" t="s">
        <v>314</v>
      </c>
      <c r="C27" s="2">
        <v>18248</v>
      </c>
      <c r="D27" s="2">
        <v>18278</v>
      </c>
      <c r="E27" s="2">
        <v>18527</v>
      </c>
      <c r="F27" s="2">
        <v>18701</v>
      </c>
      <c r="G27" s="2">
        <v>18575</v>
      </c>
      <c r="H27" s="2">
        <v>18575</v>
      </c>
      <c r="I27" s="2">
        <v>18461</v>
      </c>
      <c r="J27" s="2">
        <v>18659</v>
      </c>
      <c r="K27" s="2">
        <v>18938</v>
      </c>
      <c r="L27" s="2">
        <v>19209</v>
      </c>
      <c r="M27" s="2">
        <v>19456</v>
      </c>
      <c r="N27" s="2">
        <v>19942</v>
      </c>
    </row>
    <row r="28" spans="2:14" x14ac:dyDescent="0.3">
      <c r="B28" s="33" t="s">
        <v>315</v>
      </c>
      <c r="C28" s="2">
        <v>18248</v>
      </c>
      <c r="D28" s="2">
        <v>18278</v>
      </c>
      <c r="E28" s="2">
        <v>18527</v>
      </c>
      <c r="F28" s="2">
        <v>18701</v>
      </c>
      <c r="G28" s="2">
        <v>18575</v>
      </c>
      <c r="H28" s="2">
        <v>18575</v>
      </c>
      <c r="I28" s="2">
        <v>18461</v>
      </c>
      <c r="J28" s="2">
        <v>18659</v>
      </c>
      <c r="K28" s="2">
        <v>18938</v>
      </c>
      <c r="L28" s="2">
        <v>19209</v>
      </c>
      <c r="M28" s="2">
        <v>19456</v>
      </c>
      <c r="N28" s="2">
        <v>19942</v>
      </c>
    </row>
    <row r="29" spans="2:14" x14ac:dyDescent="0.3">
      <c r="B29" s="33" t="s">
        <v>316</v>
      </c>
      <c r="C29" s="2">
        <v>18248</v>
      </c>
      <c r="D29" s="2">
        <v>18278</v>
      </c>
      <c r="E29" s="2">
        <v>18527</v>
      </c>
      <c r="F29" s="2">
        <v>18701</v>
      </c>
      <c r="G29" s="2">
        <v>18575</v>
      </c>
      <c r="H29" s="2">
        <v>18575</v>
      </c>
      <c r="I29" s="2">
        <v>18461</v>
      </c>
      <c r="J29" s="2">
        <v>18659</v>
      </c>
      <c r="K29" s="2">
        <v>18938</v>
      </c>
      <c r="L29" s="2">
        <v>19209</v>
      </c>
      <c r="M29" s="2">
        <v>19456</v>
      </c>
      <c r="N29" s="2">
        <v>19942</v>
      </c>
    </row>
    <row r="30" spans="2:14" x14ac:dyDescent="0.3">
      <c r="B30" s="33" t="s">
        <v>317</v>
      </c>
      <c r="C30" s="2">
        <v>18248</v>
      </c>
      <c r="D30" s="2">
        <v>18278</v>
      </c>
      <c r="E30" s="2">
        <v>18527</v>
      </c>
      <c r="F30" s="2">
        <v>18701</v>
      </c>
      <c r="G30" s="2">
        <v>18575</v>
      </c>
      <c r="H30" s="2">
        <v>18575</v>
      </c>
      <c r="I30" s="2">
        <v>18461</v>
      </c>
      <c r="J30" s="2">
        <v>18659</v>
      </c>
      <c r="K30" s="2">
        <v>18938</v>
      </c>
      <c r="L30" s="2">
        <v>19209</v>
      </c>
      <c r="M30" s="2">
        <v>19456</v>
      </c>
      <c r="N30" s="2">
        <v>19942</v>
      </c>
    </row>
    <row r="31" spans="2:14" x14ac:dyDescent="0.3">
      <c r="B31" s="33" t="s">
        <v>318</v>
      </c>
      <c r="C31" s="2">
        <v>18248</v>
      </c>
      <c r="D31" s="2">
        <v>18278</v>
      </c>
      <c r="E31" s="2">
        <v>18527</v>
      </c>
      <c r="F31" s="2">
        <v>18701</v>
      </c>
      <c r="G31" s="2">
        <v>18575</v>
      </c>
      <c r="H31" s="2">
        <v>18575</v>
      </c>
      <c r="I31" s="2">
        <v>18461</v>
      </c>
      <c r="J31" s="2">
        <v>18659</v>
      </c>
      <c r="K31" s="2">
        <v>18938</v>
      </c>
      <c r="L31" s="2">
        <v>19209</v>
      </c>
      <c r="M31" s="2">
        <v>19456</v>
      </c>
      <c r="N31" s="2">
        <v>19942</v>
      </c>
    </row>
    <row r="32" spans="2:14" x14ac:dyDescent="0.3">
      <c r="B32" s="33" t="s">
        <v>319</v>
      </c>
      <c r="C32" s="2">
        <v>18248</v>
      </c>
      <c r="D32" s="2">
        <v>18278</v>
      </c>
      <c r="E32" s="2">
        <v>18527</v>
      </c>
      <c r="F32" s="2">
        <v>18701</v>
      </c>
      <c r="G32" s="2">
        <v>18575</v>
      </c>
      <c r="H32" s="2">
        <v>18575</v>
      </c>
      <c r="I32" s="2">
        <v>18461</v>
      </c>
      <c r="J32" s="2">
        <v>18659</v>
      </c>
      <c r="K32" s="2">
        <v>18938</v>
      </c>
      <c r="L32" s="2">
        <v>19209</v>
      </c>
      <c r="M32" s="2">
        <v>19456</v>
      </c>
      <c r="N32" s="2">
        <v>19942</v>
      </c>
    </row>
    <row r="33" spans="2:14" x14ac:dyDescent="0.3">
      <c r="B33" s="33" t="s">
        <v>320</v>
      </c>
      <c r="C33" s="2">
        <v>18248</v>
      </c>
      <c r="D33" s="2">
        <v>18278</v>
      </c>
      <c r="E33" s="2">
        <v>18527</v>
      </c>
      <c r="F33" s="2">
        <v>18701</v>
      </c>
      <c r="G33" s="2">
        <v>18575</v>
      </c>
      <c r="H33" s="2">
        <v>18575</v>
      </c>
      <c r="I33" s="2">
        <v>18461</v>
      </c>
      <c r="J33" s="2">
        <v>18659</v>
      </c>
      <c r="K33" s="2">
        <v>18938</v>
      </c>
      <c r="L33" s="2">
        <v>19209</v>
      </c>
      <c r="M33" s="2">
        <v>19456</v>
      </c>
      <c r="N33" s="2">
        <v>19942</v>
      </c>
    </row>
    <row r="34" spans="2:14" x14ac:dyDescent="0.3">
      <c r="B34" s="33" t="s">
        <v>321</v>
      </c>
      <c r="C34" s="2">
        <v>18248</v>
      </c>
      <c r="D34" s="2">
        <v>18278</v>
      </c>
      <c r="E34" s="2">
        <v>18527</v>
      </c>
      <c r="F34" s="2">
        <v>18701</v>
      </c>
      <c r="G34" s="2">
        <v>18575</v>
      </c>
      <c r="H34" s="2">
        <v>18575</v>
      </c>
      <c r="I34" s="2">
        <v>18461</v>
      </c>
      <c r="J34" s="2">
        <v>18659</v>
      </c>
      <c r="K34" s="2">
        <v>18938</v>
      </c>
      <c r="L34" s="2">
        <v>19209</v>
      </c>
      <c r="M34" s="2">
        <v>19456</v>
      </c>
      <c r="N34" s="2">
        <v>19942</v>
      </c>
    </row>
    <row r="35" spans="2:14" x14ac:dyDescent="0.3">
      <c r="B35" s="33" t="s">
        <v>322</v>
      </c>
      <c r="C35" s="2">
        <v>18248</v>
      </c>
      <c r="D35" s="2">
        <v>18278</v>
      </c>
      <c r="E35" s="2">
        <v>18527</v>
      </c>
      <c r="F35" s="2">
        <v>18701</v>
      </c>
      <c r="G35" s="2">
        <v>18575</v>
      </c>
      <c r="H35" s="2">
        <v>18575</v>
      </c>
      <c r="I35" s="2">
        <v>18461</v>
      </c>
      <c r="J35" s="2">
        <v>18659</v>
      </c>
      <c r="K35" s="2">
        <v>18938</v>
      </c>
      <c r="L35" s="2">
        <v>19209</v>
      </c>
      <c r="M35" s="2">
        <v>19456</v>
      </c>
      <c r="N35" s="2">
        <v>19942</v>
      </c>
    </row>
    <row r="36" spans="2:14" x14ac:dyDescent="0.3">
      <c r="B36" s="33" t="s">
        <v>323</v>
      </c>
      <c r="C36" s="2">
        <v>18344</v>
      </c>
      <c r="D36" s="2">
        <v>18403</v>
      </c>
      <c r="E36" s="2">
        <v>18632</v>
      </c>
      <c r="F36" s="2">
        <v>18679</v>
      </c>
      <c r="G36" s="2">
        <v>18767</v>
      </c>
      <c r="H36" s="2">
        <v>18722</v>
      </c>
      <c r="I36" s="2">
        <v>18747</v>
      </c>
      <c r="J36" s="2">
        <v>18733</v>
      </c>
      <c r="K36" s="2">
        <v>18929</v>
      </c>
      <c r="L36" s="2">
        <v>19281</v>
      </c>
      <c r="M36" s="2">
        <v>19725</v>
      </c>
      <c r="N36" s="2">
        <v>20097</v>
      </c>
    </row>
    <row r="37" spans="2:14" x14ac:dyDescent="0.3">
      <c r="B37" s="33" t="s">
        <v>324</v>
      </c>
      <c r="C37" s="2">
        <v>18344</v>
      </c>
      <c r="D37" s="2">
        <v>18403</v>
      </c>
      <c r="E37" s="2">
        <v>18632</v>
      </c>
      <c r="F37" s="2">
        <v>18679</v>
      </c>
      <c r="G37" s="2">
        <v>18767</v>
      </c>
      <c r="H37" s="2">
        <v>18722</v>
      </c>
      <c r="I37" s="2">
        <v>18747</v>
      </c>
      <c r="J37" s="2">
        <v>18733</v>
      </c>
      <c r="K37" s="2">
        <v>18929</v>
      </c>
      <c r="L37" s="2">
        <v>19281</v>
      </c>
      <c r="M37" s="2">
        <v>19725</v>
      </c>
      <c r="N37" s="2">
        <v>20097</v>
      </c>
    </row>
    <row r="38" spans="2:14" x14ac:dyDescent="0.3">
      <c r="B38" s="33" t="s">
        <v>325</v>
      </c>
      <c r="C38" s="2">
        <v>18344</v>
      </c>
      <c r="D38" s="2">
        <v>18403</v>
      </c>
      <c r="E38" s="2">
        <v>18632</v>
      </c>
      <c r="F38" s="2">
        <v>18679</v>
      </c>
      <c r="G38" s="2">
        <v>18767</v>
      </c>
      <c r="H38" s="2">
        <v>18722</v>
      </c>
      <c r="I38" s="2">
        <v>18747</v>
      </c>
      <c r="J38" s="2">
        <v>18733</v>
      </c>
      <c r="K38" s="2">
        <v>18929</v>
      </c>
      <c r="L38" s="2">
        <v>19281</v>
      </c>
      <c r="M38" s="2">
        <v>19725</v>
      </c>
      <c r="N38" s="2">
        <v>20097</v>
      </c>
    </row>
    <row r="39" spans="2:14" x14ac:dyDescent="0.3">
      <c r="B39" s="33" t="s">
        <v>326</v>
      </c>
      <c r="C39" s="2">
        <v>18344</v>
      </c>
      <c r="D39" s="2">
        <v>18403</v>
      </c>
      <c r="E39" s="2">
        <v>18632</v>
      </c>
      <c r="F39" s="2">
        <v>18679</v>
      </c>
      <c r="G39" s="2">
        <v>18767</v>
      </c>
      <c r="H39" s="2">
        <v>18722</v>
      </c>
      <c r="I39" s="2">
        <v>18747</v>
      </c>
      <c r="J39" s="2">
        <v>18733</v>
      </c>
      <c r="K39" s="2">
        <v>18929</v>
      </c>
      <c r="L39" s="2">
        <v>19281</v>
      </c>
      <c r="M39" s="2">
        <v>19725</v>
      </c>
      <c r="N39" s="2">
        <v>20097</v>
      </c>
    </row>
    <row r="40" spans="2:14" x14ac:dyDescent="0.3">
      <c r="B40" s="33" t="s">
        <v>327</v>
      </c>
      <c r="C40" s="2">
        <v>18344</v>
      </c>
      <c r="D40" s="2">
        <v>18403</v>
      </c>
      <c r="E40" s="2">
        <v>18632</v>
      </c>
      <c r="F40" s="2">
        <v>18679</v>
      </c>
      <c r="G40" s="2">
        <v>18767</v>
      </c>
      <c r="H40" s="2">
        <v>18722</v>
      </c>
      <c r="I40" s="2">
        <v>18747</v>
      </c>
      <c r="J40" s="2">
        <v>18733</v>
      </c>
      <c r="K40" s="2">
        <v>18929</v>
      </c>
      <c r="L40" s="2">
        <v>19281</v>
      </c>
      <c r="M40" s="2">
        <v>19725</v>
      </c>
      <c r="N40" s="2">
        <v>20097</v>
      </c>
    </row>
    <row r="41" spans="2:14" x14ac:dyDescent="0.3">
      <c r="B41" s="33" t="s">
        <v>328</v>
      </c>
      <c r="C41" s="2">
        <v>18344</v>
      </c>
      <c r="D41" s="2">
        <v>18403</v>
      </c>
      <c r="E41" s="2">
        <v>18632</v>
      </c>
      <c r="F41" s="2">
        <v>18679</v>
      </c>
      <c r="G41" s="2">
        <v>18767</v>
      </c>
      <c r="H41" s="2">
        <v>18722</v>
      </c>
      <c r="I41" s="2">
        <v>18747</v>
      </c>
      <c r="J41" s="2">
        <v>18733</v>
      </c>
      <c r="K41" s="2">
        <v>18929</v>
      </c>
      <c r="L41" s="2">
        <v>19281</v>
      </c>
      <c r="M41" s="2">
        <v>19725</v>
      </c>
      <c r="N41" s="2">
        <v>20097</v>
      </c>
    </row>
    <row r="42" spans="2:14" x14ac:dyDescent="0.3">
      <c r="B42" s="33" t="s">
        <v>329</v>
      </c>
      <c r="C42" s="2">
        <v>18344</v>
      </c>
      <c r="D42" s="2">
        <v>18403</v>
      </c>
      <c r="E42" s="2">
        <v>18632</v>
      </c>
      <c r="F42" s="2">
        <v>18679</v>
      </c>
      <c r="G42" s="2">
        <v>18767</v>
      </c>
      <c r="H42" s="2">
        <v>18722</v>
      </c>
      <c r="I42" s="2">
        <v>18747</v>
      </c>
      <c r="J42" s="2">
        <v>18733</v>
      </c>
      <c r="K42" s="2">
        <v>18929</v>
      </c>
      <c r="L42" s="2">
        <v>19281</v>
      </c>
      <c r="M42" s="2">
        <v>19725</v>
      </c>
      <c r="N42" s="2">
        <v>20097</v>
      </c>
    </row>
    <row r="43" spans="2:14" x14ac:dyDescent="0.3">
      <c r="B43" s="33" t="s">
        <v>330</v>
      </c>
      <c r="C43" s="2">
        <v>18344</v>
      </c>
      <c r="D43" s="2">
        <v>18403</v>
      </c>
      <c r="E43" s="2">
        <v>18632</v>
      </c>
      <c r="F43" s="2">
        <v>18679</v>
      </c>
      <c r="G43" s="2">
        <v>18767</v>
      </c>
      <c r="H43" s="2">
        <v>18722</v>
      </c>
      <c r="I43" s="2">
        <v>18747</v>
      </c>
      <c r="J43" s="2">
        <v>18733</v>
      </c>
      <c r="K43" s="2">
        <v>18929</v>
      </c>
      <c r="L43" s="2">
        <v>19281</v>
      </c>
      <c r="M43" s="2">
        <v>19725</v>
      </c>
      <c r="N43" s="2">
        <v>20097</v>
      </c>
    </row>
    <row r="44" spans="2:14" x14ac:dyDescent="0.3">
      <c r="B44" s="33" t="s">
        <v>331</v>
      </c>
      <c r="C44" s="2">
        <v>18344</v>
      </c>
      <c r="D44" s="2">
        <v>18403</v>
      </c>
      <c r="E44" s="2">
        <v>18632</v>
      </c>
      <c r="F44" s="2">
        <v>18679</v>
      </c>
      <c r="G44" s="2">
        <v>18767</v>
      </c>
      <c r="H44" s="2">
        <v>18722</v>
      </c>
      <c r="I44" s="2">
        <v>18747</v>
      </c>
      <c r="J44" s="2">
        <v>18733</v>
      </c>
      <c r="K44" s="2">
        <v>18929</v>
      </c>
      <c r="L44" s="2">
        <v>19281</v>
      </c>
      <c r="M44" s="2">
        <v>19725</v>
      </c>
      <c r="N44" s="2">
        <v>20097</v>
      </c>
    </row>
    <row r="45" spans="2:14" x14ac:dyDescent="0.3">
      <c r="B45" s="33" t="s">
        <v>332</v>
      </c>
      <c r="C45" s="2">
        <v>18344</v>
      </c>
      <c r="D45" s="2">
        <v>18403</v>
      </c>
      <c r="E45" s="2">
        <v>18632</v>
      </c>
      <c r="F45" s="2">
        <v>18679</v>
      </c>
      <c r="G45" s="2">
        <v>18767</v>
      </c>
      <c r="H45" s="2">
        <v>18722</v>
      </c>
      <c r="I45" s="2">
        <v>18747</v>
      </c>
      <c r="J45" s="2">
        <v>18733</v>
      </c>
      <c r="K45" s="2">
        <v>18929</v>
      </c>
      <c r="L45" s="2">
        <v>19281</v>
      </c>
      <c r="M45" s="2">
        <v>19725</v>
      </c>
      <c r="N45" s="2">
        <v>20097</v>
      </c>
    </row>
    <row r="46" spans="2:14" x14ac:dyDescent="0.3">
      <c r="B46" s="33" t="s">
        <v>333</v>
      </c>
      <c r="C46" s="2">
        <v>18344</v>
      </c>
      <c r="D46" s="2">
        <v>18403</v>
      </c>
      <c r="E46" s="2">
        <v>18632</v>
      </c>
      <c r="F46" s="2">
        <v>18679</v>
      </c>
      <c r="G46" s="2">
        <v>18767</v>
      </c>
      <c r="H46" s="2">
        <v>18722</v>
      </c>
      <c r="I46" s="2">
        <v>18747</v>
      </c>
      <c r="J46" s="2">
        <v>18733</v>
      </c>
      <c r="K46" s="2">
        <v>18929</v>
      </c>
      <c r="L46" s="2">
        <v>19281</v>
      </c>
      <c r="M46" s="2">
        <v>19725</v>
      </c>
      <c r="N46" s="2">
        <v>20097</v>
      </c>
    </row>
    <row r="47" spans="2:14" x14ac:dyDescent="0.3">
      <c r="B47" s="33" t="s">
        <v>334</v>
      </c>
      <c r="C47" s="2">
        <v>18344</v>
      </c>
      <c r="D47" s="2">
        <v>18403</v>
      </c>
      <c r="E47" s="2">
        <v>18632</v>
      </c>
      <c r="F47" s="2">
        <v>18679</v>
      </c>
      <c r="G47" s="2">
        <v>18767</v>
      </c>
      <c r="H47" s="2">
        <v>18722</v>
      </c>
      <c r="I47" s="2">
        <v>18747</v>
      </c>
      <c r="J47" s="2">
        <v>18733</v>
      </c>
      <c r="K47" s="2">
        <v>18929</v>
      </c>
      <c r="L47" s="2">
        <v>19281</v>
      </c>
      <c r="M47" s="2">
        <v>19725</v>
      </c>
      <c r="N47" s="2">
        <v>20097</v>
      </c>
    </row>
    <row r="48" spans="2:14" x14ac:dyDescent="0.3">
      <c r="B48" s="33" t="s">
        <v>335</v>
      </c>
      <c r="C48" s="2">
        <v>18147</v>
      </c>
      <c r="D48" s="2">
        <v>18180</v>
      </c>
      <c r="E48" s="2">
        <v>18490</v>
      </c>
      <c r="F48" s="2">
        <v>18638</v>
      </c>
      <c r="G48" s="2">
        <v>18554</v>
      </c>
      <c r="H48" s="2">
        <v>18542</v>
      </c>
      <c r="I48" s="2">
        <v>18542</v>
      </c>
      <c r="J48" s="2">
        <v>18597</v>
      </c>
      <c r="K48" s="2">
        <v>18880</v>
      </c>
      <c r="L48" s="2">
        <v>19161</v>
      </c>
      <c r="M48" s="2">
        <v>19526</v>
      </c>
      <c r="N48" s="2">
        <v>19840</v>
      </c>
    </row>
    <row r="49" spans="2:14" x14ac:dyDescent="0.3">
      <c r="B49" s="33" t="s">
        <v>336</v>
      </c>
      <c r="C49" s="2">
        <v>18147</v>
      </c>
      <c r="D49" s="2">
        <v>18180</v>
      </c>
      <c r="E49" s="2">
        <v>18490</v>
      </c>
      <c r="F49" s="2">
        <v>18638</v>
      </c>
      <c r="G49" s="2">
        <v>18554</v>
      </c>
      <c r="H49" s="2">
        <v>18542</v>
      </c>
      <c r="I49" s="2">
        <v>18542</v>
      </c>
      <c r="J49" s="2">
        <v>18597</v>
      </c>
      <c r="K49" s="2">
        <v>18880</v>
      </c>
      <c r="L49" s="2">
        <v>19161</v>
      </c>
      <c r="M49" s="2">
        <v>19526</v>
      </c>
      <c r="N49" s="2">
        <v>19840</v>
      </c>
    </row>
    <row r="50" spans="2:14" x14ac:dyDescent="0.3">
      <c r="B50" s="33" t="s">
        <v>337</v>
      </c>
      <c r="C50" s="2">
        <v>18147</v>
      </c>
      <c r="D50" s="2">
        <v>18180</v>
      </c>
      <c r="E50" s="2">
        <v>18490</v>
      </c>
      <c r="F50" s="2">
        <v>18638</v>
      </c>
      <c r="G50" s="2">
        <v>18554</v>
      </c>
      <c r="H50" s="2">
        <v>18542</v>
      </c>
      <c r="I50" s="2">
        <v>18542</v>
      </c>
      <c r="J50" s="2">
        <v>18597</v>
      </c>
      <c r="K50" s="2">
        <v>18880</v>
      </c>
      <c r="L50" s="2">
        <v>19161</v>
      </c>
      <c r="M50" s="2">
        <v>19526</v>
      </c>
      <c r="N50" s="2">
        <v>19840</v>
      </c>
    </row>
  </sheetData>
  <hyperlinks>
    <hyperlink ref="A1" location="Contenido!A1" display="Contenido" xr:uid="{F6C12002-D6B7-426A-8560-C09BB93591C3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00F3-4886-4A80-B7CE-7A365507F5FE}">
  <dimension ref="A1:N5"/>
  <sheetViews>
    <sheetView workbookViewId="0">
      <selection activeCell="N5" sqref="N5"/>
    </sheetView>
  </sheetViews>
  <sheetFormatPr baseColWidth="10" defaultColWidth="11.44140625" defaultRowHeight="14.4" x14ac:dyDescent="0.3"/>
  <cols>
    <col min="2" max="2" width="15.33203125" bestFit="1" customWidth="1"/>
    <col min="3" max="4" width="8" bestFit="1" customWidth="1"/>
    <col min="5" max="5" width="8" customWidth="1"/>
  </cols>
  <sheetData>
    <row r="1" spans="1:14" x14ac:dyDescent="0.3">
      <c r="A1" s="4" t="s">
        <v>32</v>
      </c>
      <c r="B1" s="1" t="s">
        <v>88</v>
      </c>
      <c r="C1" s="48" t="s">
        <v>289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x14ac:dyDescent="0.3">
      <c r="C2" s="2" t="s">
        <v>40</v>
      </c>
      <c r="D2" s="2" t="s">
        <v>41</v>
      </c>
      <c r="E2" s="2" t="s">
        <v>42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85</v>
      </c>
      <c r="M2" s="2" t="s">
        <v>86</v>
      </c>
      <c r="N2" s="2" t="s">
        <v>87</v>
      </c>
    </row>
    <row r="3" spans="1:14" x14ac:dyDescent="0.3">
      <c r="B3" s="2" t="s">
        <v>73</v>
      </c>
      <c r="C3" s="2">
        <v>4300000</v>
      </c>
      <c r="D3" s="2">
        <v>4300000</v>
      </c>
      <c r="E3" s="2">
        <v>4300000</v>
      </c>
      <c r="F3" s="2">
        <v>4300000</v>
      </c>
      <c r="G3" s="2">
        <v>4300000</v>
      </c>
      <c r="H3" s="2">
        <v>4300000</v>
      </c>
      <c r="I3" s="2">
        <v>4300000</v>
      </c>
      <c r="J3" s="2">
        <v>4300000</v>
      </c>
      <c r="K3" s="2">
        <v>4300000</v>
      </c>
      <c r="L3" s="2">
        <v>4300000</v>
      </c>
      <c r="M3" s="2">
        <v>4300000</v>
      </c>
      <c r="N3" s="2">
        <v>4300000</v>
      </c>
    </row>
    <row r="4" spans="1:14" x14ac:dyDescent="0.3">
      <c r="B4" s="2" t="s">
        <v>74</v>
      </c>
      <c r="C4" s="2">
        <v>4450000</v>
      </c>
      <c r="D4" s="2">
        <v>4450000</v>
      </c>
      <c r="E4" s="2">
        <v>4450000</v>
      </c>
      <c r="F4" s="2">
        <v>4450000</v>
      </c>
      <c r="G4" s="2">
        <v>4450000</v>
      </c>
      <c r="H4" s="2">
        <v>4450000</v>
      </c>
      <c r="I4" s="2">
        <v>4450000</v>
      </c>
      <c r="J4" s="2">
        <v>4450000</v>
      </c>
      <c r="K4" s="2">
        <v>4450000</v>
      </c>
      <c r="L4" s="2">
        <v>4450000</v>
      </c>
      <c r="M4" s="2">
        <v>4450000</v>
      </c>
      <c r="N4" s="2">
        <v>4450000</v>
      </c>
    </row>
    <row r="5" spans="1:14" x14ac:dyDescent="0.3">
      <c r="B5" s="2" t="s">
        <v>75</v>
      </c>
      <c r="C5" s="2">
        <v>4330000</v>
      </c>
      <c r="D5" s="2">
        <v>4330000</v>
      </c>
      <c r="E5" s="2">
        <v>4330000</v>
      </c>
      <c r="F5" s="2">
        <v>4330000</v>
      </c>
      <c r="G5" s="2">
        <v>4330000</v>
      </c>
      <c r="H5" s="2">
        <v>4330000</v>
      </c>
      <c r="I5" s="2">
        <v>4330000</v>
      </c>
      <c r="J5" s="2">
        <v>4330000</v>
      </c>
      <c r="K5" s="2">
        <v>4330000</v>
      </c>
      <c r="L5" s="2">
        <v>4330000</v>
      </c>
      <c r="M5" s="2">
        <v>4330000</v>
      </c>
      <c r="N5" s="2">
        <v>4330000</v>
      </c>
    </row>
  </sheetData>
  <mergeCells count="1">
    <mergeCell ref="C1:N1"/>
  </mergeCells>
  <phoneticPr fontId="2" type="noConversion"/>
  <hyperlinks>
    <hyperlink ref="A1" location="Contenido!A1" display="Contenido" xr:uid="{3A92A99E-DF47-4E8D-B817-0B9A4B2C58D4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748DF-5020-4514-A251-9328C54F2394}">
  <dimension ref="A1:N8"/>
  <sheetViews>
    <sheetView workbookViewId="0">
      <selection activeCell="C2" sqref="C2:N2"/>
    </sheetView>
  </sheetViews>
  <sheetFormatPr baseColWidth="10" defaultColWidth="11.44140625" defaultRowHeight="14.4" x14ac:dyDescent="0.3"/>
  <cols>
    <col min="2" max="2" width="24.44140625" bestFit="1" customWidth="1"/>
    <col min="3" max="5" width="8" bestFit="1" customWidth="1"/>
  </cols>
  <sheetData>
    <row r="1" spans="1:14" x14ac:dyDescent="0.3">
      <c r="A1" s="4" t="s">
        <v>32</v>
      </c>
      <c r="B1" s="1" t="s">
        <v>95</v>
      </c>
      <c r="C1" s="48" t="s">
        <v>394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x14ac:dyDescent="0.3">
      <c r="C2" s="2" t="s">
        <v>40</v>
      </c>
      <c r="D2" s="2" t="s">
        <v>41</v>
      </c>
      <c r="E2" s="2" t="s">
        <v>42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85</v>
      </c>
      <c r="M2" s="2" t="s">
        <v>86</v>
      </c>
      <c r="N2" s="2" t="s">
        <v>87</v>
      </c>
    </row>
    <row r="3" spans="1:14" x14ac:dyDescent="0.3">
      <c r="B3" s="2" t="s">
        <v>89</v>
      </c>
      <c r="C3" s="2">
        <v>770</v>
      </c>
      <c r="D3" s="2">
        <v>770</v>
      </c>
      <c r="E3" s="2">
        <v>770</v>
      </c>
      <c r="F3" s="2">
        <v>770</v>
      </c>
      <c r="G3" s="2">
        <v>770</v>
      </c>
      <c r="H3" s="2">
        <v>770</v>
      </c>
      <c r="I3" s="2">
        <v>770</v>
      </c>
      <c r="J3" s="2">
        <v>770</v>
      </c>
      <c r="K3" s="2">
        <v>770</v>
      </c>
      <c r="L3" s="2">
        <v>770</v>
      </c>
      <c r="M3" s="2">
        <v>770</v>
      </c>
      <c r="N3" s="2">
        <v>770</v>
      </c>
    </row>
    <row r="4" spans="1:14" x14ac:dyDescent="0.3">
      <c r="B4" s="2" t="s">
        <v>90</v>
      </c>
      <c r="C4" s="2">
        <v>810</v>
      </c>
      <c r="D4" s="2">
        <v>810</v>
      </c>
      <c r="E4" s="2">
        <v>810</v>
      </c>
      <c r="F4" s="2">
        <v>810</v>
      </c>
      <c r="G4" s="2">
        <v>810</v>
      </c>
      <c r="H4" s="2">
        <v>810</v>
      </c>
      <c r="I4" s="2">
        <v>810</v>
      </c>
      <c r="J4" s="2">
        <v>810</v>
      </c>
      <c r="K4" s="2">
        <v>810</v>
      </c>
      <c r="L4" s="2">
        <v>810</v>
      </c>
      <c r="M4" s="2">
        <v>810</v>
      </c>
      <c r="N4" s="2">
        <v>810</v>
      </c>
    </row>
    <row r="5" spans="1:14" x14ac:dyDescent="0.3">
      <c r="B5" s="2" t="s">
        <v>91</v>
      </c>
      <c r="C5" s="2">
        <v>785</v>
      </c>
      <c r="D5" s="2">
        <v>785</v>
      </c>
      <c r="E5" s="2">
        <v>785</v>
      </c>
      <c r="F5" s="2">
        <v>785</v>
      </c>
      <c r="G5" s="2">
        <v>785</v>
      </c>
      <c r="H5" s="2">
        <v>785</v>
      </c>
      <c r="I5" s="2">
        <v>785</v>
      </c>
      <c r="J5" s="2">
        <v>785</v>
      </c>
      <c r="K5" s="2">
        <v>785</v>
      </c>
      <c r="L5" s="2">
        <v>785</v>
      </c>
      <c r="M5" s="2">
        <v>785</v>
      </c>
      <c r="N5" s="2">
        <v>785</v>
      </c>
    </row>
    <row r="6" spans="1:14" x14ac:dyDescent="0.3">
      <c r="B6" s="2" t="s">
        <v>92</v>
      </c>
      <c r="C6" s="2">
        <v>770</v>
      </c>
      <c r="D6" s="2">
        <v>770</v>
      </c>
      <c r="E6" s="2">
        <v>770</v>
      </c>
      <c r="F6" s="2">
        <v>770</v>
      </c>
      <c r="G6" s="2">
        <v>770</v>
      </c>
      <c r="H6" s="2">
        <v>770</v>
      </c>
      <c r="I6" s="2">
        <v>770</v>
      </c>
      <c r="J6" s="2">
        <v>770</v>
      </c>
      <c r="K6" s="2">
        <v>770</v>
      </c>
      <c r="L6" s="2">
        <v>770</v>
      </c>
      <c r="M6" s="2">
        <v>770</v>
      </c>
      <c r="N6" s="2">
        <v>770</v>
      </c>
    </row>
    <row r="7" spans="1:14" x14ac:dyDescent="0.3">
      <c r="B7" s="2" t="s">
        <v>93</v>
      </c>
      <c r="C7" s="2">
        <v>810</v>
      </c>
      <c r="D7" s="2">
        <v>810</v>
      </c>
      <c r="E7" s="2">
        <v>810</v>
      </c>
      <c r="F7" s="2">
        <v>810</v>
      </c>
      <c r="G7" s="2">
        <v>810</v>
      </c>
      <c r="H7" s="2">
        <v>810</v>
      </c>
      <c r="I7" s="2">
        <v>810</v>
      </c>
      <c r="J7" s="2">
        <v>810</v>
      </c>
      <c r="K7" s="2">
        <v>810</v>
      </c>
      <c r="L7" s="2">
        <v>810</v>
      </c>
      <c r="M7" s="2">
        <v>810</v>
      </c>
      <c r="N7" s="2">
        <v>810</v>
      </c>
    </row>
    <row r="8" spans="1:14" x14ac:dyDescent="0.3">
      <c r="B8" s="2" t="s">
        <v>94</v>
      </c>
      <c r="C8" s="2">
        <v>785</v>
      </c>
      <c r="D8" s="2">
        <v>785</v>
      </c>
      <c r="E8" s="2">
        <v>785</v>
      </c>
      <c r="F8" s="2">
        <v>785</v>
      </c>
      <c r="G8" s="2">
        <v>785</v>
      </c>
      <c r="H8" s="2">
        <v>785</v>
      </c>
      <c r="I8" s="2">
        <v>785</v>
      </c>
      <c r="J8" s="2">
        <v>785</v>
      </c>
      <c r="K8" s="2">
        <v>785</v>
      </c>
      <c r="L8" s="2">
        <v>785</v>
      </c>
      <c r="M8" s="2">
        <v>785</v>
      </c>
      <c r="N8" s="2">
        <v>785</v>
      </c>
    </row>
  </sheetData>
  <mergeCells count="1">
    <mergeCell ref="C1:N1"/>
  </mergeCells>
  <phoneticPr fontId="2" type="noConversion"/>
  <hyperlinks>
    <hyperlink ref="A1" location="Contenido!A1" display="Contenido" xr:uid="{0460E4F7-A746-4C43-A66A-40F6AA42CA6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A78B5-40CA-4491-9FF5-D9C6D5960B1C}">
  <dimension ref="A1:N8"/>
  <sheetViews>
    <sheetView workbookViewId="0">
      <selection activeCell="N8" sqref="N8"/>
    </sheetView>
  </sheetViews>
  <sheetFormatPr baseColWidth="10" defaultColWidth="11.44140625" defaultRowHeight="14.4" x14ac:dyDescent="0.3"/>
  <cols>
    <col min="2" max="2" width="23.6640625" bestFit="1" customWidth="1"/>
    <col min="3" max="5" width="8" bestFit="1" customWidth="1"/>
  </cols>
  <sheetData>
    <row r="1" spans="1:14" x14ac:dyDescent="0.3">
      <c r="A1" s="4" t="s">
        <v>32</v>
      </c>
      <c r="B1" s="47" t="s">
        <v>395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x14ac:dyDescent="0.3">
      <c r="C2" s="2" t="s">
        <v>40</v>
      </c>
      <c r="D2" s="2" t="s">
        <v>41</v>
      </c>
      <c r="E2" s="2" t="s">
        <v>42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85</v>
      </c>
      <c r="M2" s="2" t="s">
        <v>86</v>
      </c>
      <c r="N2" s="2" t="s">
        <v>87</v>
      </c>
    </row>
    <row r="3" spans="1:14" x14ac:dyDescent="0.3">
      <c r="B3" s="2" t="s">
        <v>89</v>
      </c>
      <c r="C3" s="2">
        <v>450</v>
      </c>
      <c r="D3" s="2">
        <v>450</v>
      </c>
      <c r="E3" s="2">
        <v>450</v>
      </c>
      <c r="F3" s="2">
        <v>450</v>
      </c>
      <c r="G3" s="2">
        <v>450</v>
      </c>
      <c r="H3" s="2">
        <v>450</v>
      </c>
      <c r="I3" s="2">
        <v>450</v>
      </c>
      <c r="J3" s="2">
        <v>450</v>
      </c>
      <c r="K3" s="2">
        <v>450</v>
      </c>
      <c r="L3" s="2">
        <v>450</v>
      </c>
      <c r="M3" s="2">
        <v>450</v>
      </c>
      <c r="N3" s="2">
        <v>450</v>
      </c>
    </row>
    <row r="4" spans="1:14" x14ac:dyDescent="0.3">
      <c r="B4" s="2" t="s">
        <v>90</v>
      </c>
      <c r="C4" s="2">
        <v>500</v>
      </c>
      <c r="D4" s="2">
        <v>500</v>
      </c>
      <c r="E4" s="2">
        <v>500</v>
      </c>
      <c r="F4" s="2">
        <v>500</v>
      </c>
      <c r="G4" s="2">
        <v>500</v>
      </c>
      <c r="H4" s="2">
        <v>500</v>
      </c>
      <c r="I4" s="2">
        <v>500</v>
      </c>
      <c r="J4" s="2">
        <v>500</v>
      </c>
      <c r="K4" s="2">
        <v>500</v>
      </c>
      <c r="L4" s="2">
        <v>500</v>
      </c>
      <c r="M4" s="2">
        <v>500</v>
      </c>
      <c r="N4" s="2">
        <v>500</v>
      </c>
    </row>
    <row r="5" spans="1:14" x14ac:dyDescent="0.3">
      <c r="B5" s="2" t="s">
        <v>91</v>
      </c>
      <c r="C5" s="2">
        <v>550</v>
      </c>
      <c r="D5" s="2">
        <v>550</v>
      </c>
      <c r="E5" s="2">
        <v>550</v>
      </c>
      <c r="F5" s="2">
        <v>550</v>
      </c>
      <c r="G5" s="2">
        <v>550</v>
      </c>
      <c r="H5" s="2">
        <v>550</v>
      </c>
      <c r="I5" s="2">
        <v>550</v>
      </c>
      <c r="J5" s="2">
        <v>550</v>
      </c>
      <c r="K5" s="2">
        <v>550</v>
      </c>
      <c r="L5" s="2">
        <v>550</v>
      </c>
      <c r="M5" s="2">
        <v>550</v>
      </c>
      <c r="N5" s="2">
        <v>550</v>
      </c>
    </row>
    <row r="6" spans="1:14" x14ac:dyDescent="0.3">
      <c r="B6" s="2" t="s">
        <v>92</v>
      </c>
      <c r="C6" s="2">
        <v>450</v>
      </c>
      <c r="D6" s="2">
        <v>450</v>
      </c>
      <c r="E6" s="2">
        <v>450</v>
      </c>
      <c r="F6" s="2">
        <v>450</v>
      </c>
      <c r="G6" s="2">
        <v>450</v>
      </c>
      <c r="H6" s="2">
        <v>450</v>
      </c>
      <c r="I6" s="2">
        <v>450</v>
      </c>
      <c r="J6" s="2">
        <v>450</v>
      </c>
      <c r="K6" s="2">
        <v>450</v>
      </c>
      <c r="L6" s="2">
        <v>450</v>
      </c>
      <c r="M6" s="2">
        <v>450</v>
      </c>
      <c r="N6" s="2">
        <v>450</v>
      </c>
    </row>
    <row r="7" spans="1:14" x14ac:dyDescent="0.3">
      <c r="B7" s="2" t="s">
        <v>93</v>
      </c>
      <c r="C7" s="2">
        <v>500</v>
      </c>
      <c r="D7" s="2">
        <v>500</v>
      </c>
      <c r="E7" s="2">
        <v>500</v>
      </c>
      <c r="F7" s="2">
        <v>500</v>
      </c>
      <c r="G7" s="2">
        <v>500</v>
      </c>
      <c r="H7" s="2">
        <v>500</v>
      </c>
      <c r="I7" s="2">
        <v>500</v>
      </c>
      <c r="J7" s="2">
        <v>500</v>
      </c>
      <c r="K7" s="2">
        <v>500</v>
      </c>
      <c r="L7" s="2">
        <v>500</v>
      </c>
      <c r="M7" s="2">
        <v>500</v>
      </c>
      <c r="N7" s="2">
        <v>500</v>
      </c>
    </row>
    <row r="8" spans="1:14" x14ac:dyDescent="0.3">
      <c r="B8" s="2" t="s">
        <v>94</v>
      </c>
      <c r="C8" s="2">
        <v>550</v>
      </c>
      <c r="D8" s="2">
        <v>550</v>
      </c>
      <c r="E8" s="2">
        <v>550</v>
      </c>
      <c r="F8" s="2">
        <v>550</v>
      </c>
      <c r="G8" s="2">
        <v>550</v>
      </c>
      <c r="H8" s="2">
        <v>550</v>
      </c>
      <c r="I8" s="2">
        <v>550</v>
      </c>
      <c r="J8" s="2">
        <v>550</v>
      </c>
      <c r="K8" s="2">
        <v>550</v>
      </c>
      <c r="L8" s="2">
        <v>550</v>
      </c>
      <c r="M8" s="2">
        <v>550</v>
      </c>
      <c r="N8" s="2">
        <v>550</v>
      </c>
    </row>
  </sheetData>
  <mergeCells count="1">
    <mergeCell ref="B1:N1"/>
  </mergeCells>
  <phoneticPr fontId="2" type="noConversion"/>
  <hyperlinks>
    <hyperlink ref="A1" location="Contenido!A1" display="Contenido" xr:uid="{2589647A-6B7E-4885-AA64-4CAC7A12B8B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82F5D-B76C-4137-B0E4-8646B144F92F}">
  <sheetPr>
    <tabColor theme="5" tint="-0.249977111117893"/>
  </sheetPr>
  <dimension ref="A1:AS55"/>
  <sheetViews>
    <sheetView topLeftCell="E13" zoomScale="63" workbookViewId="0">
      <selection activeCell="O58" sqref="O58"/>
    </sheetView>
  </sheetViews>
  <sheetFormatPr baseColWidth="10" defaultColWidth="11.44140625" defaultRowHeight="14.4" x14ac:dyDescent="0.3"/>
  <cols>
    <col min="2" max="2" width="2.44140625" customWidth="1"/>
    <col min="6" max="6" width="4.44140625" customWidth="1"/>
    <col min="7" max="7" width="4" customWidth="1"/>
    <col min="8" max="8" width="27" customWidth="1"/>
    <col min="9" max="9" width="18.109375" customWidth="1"/>
    <col min="11" max="11" width="18" customWidth="1"/>
  </cols>
  <sheetData>
    <row r="1" spans="1:45" x14ac:dyDescent="0.3">
      <c r="A1" s="4" t="s">
        <v>32</v>
      </c>
      <c r="H1" t="s">
        <v>440</v>
      </c>
      <c r="I1" t="s">
        <v>439</v>
      </c>
    </row>
    <row r="3" spans="1:45" x14ac:dyDescent="0.3">
      <c r="H3" t="s">
        <v>412</v>
      </c>
      <c r="U3" t="s">
        <v>422</v>
      </c>
      <c r="AH3" t="s">
        <v>423</v>
      </c>
    </row>
    <row r="5" spans="1:45" x14ac:dyDescent="0.3">
      <c r="H5" s="38" t="s">
        <v>400</v>
      </c>
      <c r="I5" s="2" t="s">
        <v>401</v>
      </c>
      <c r="J5" s="2" t="s">
        <v>402</v>
      </c>
      <c r="K5" s="2" t="s">
        <v>403</v>
      </c>
      <c r="L5" s="2" t="s">
        <v>404</v>
      </c>
      <c r="M5" s="2" t="s">
        <v>405</v>
      </c>
      <c r="N5" s="2" t="s">
        <v>406</v>
      </c>
      <c r="O5" s="2" t="s">
        <v>407</v>
      </c>
      <c r="P5" s="2" t="s">
        <v>408</v>
      </c>
      <c r="Q5" s="2" t="s">
        <v>409</v>
      </c>
      <c r="R5" s="2" t="s">
        <v>410</v>
      </c>
      <c r="S5" s="2" t="s">
        <v>411</v>
      </c>
      <c r="U5" s="38" t="s">
        <v>400</v>
      </c>
      <c r="V5" s="2" t="s">
        <v>401</v>
      </c>
      <c r="W5" s="2" t="s">
        <v>402</v>
      </c>
      <c r="X5" s="2" t="s">
        <v>403</v>
      </c>
      <c r="Y5" s="2" t="s">
        <v>404</v>
      </c>
      <c r="Z5" s="2" t="s">
        <v>405</v>
      </c>
      <c r="AA5" s="2" t="s">
        <v>406</v>
      </c>
      <c r="AB5" s="2" t="s">
        <v>407</v>
      </c>
      <c r="AC5" s="2" t="s">
        <v>408</v>
      </c>
      <c r="AD5" s="2" t="s">
        <v>409</v>
      </c>
      <c r="AE5" s="2" t="s">
        <v>410</v>
      </c>
      <c r="AF5" s="2" t="s">
        <v>411</v>
      </c>
      <c r="AH5" s="38" t="s">
        <v>400</v>
      </c>
      <c r="AI5" s="2" t="s">
        <v>401</v>
      </c>
      <c r="AJ5" s="2" t="s">
        <v>402</v>
      </c>
      <c r="AK5" s="2" t="s">
        <v>403</v>
      </c>
      <c r="AL5" s="2" t="s">
        <v>404</v>
      </c>
      <c r="AM5" s="2" t="s">
        <v>405</v>
      </c>
      <c r="AN5" s="2" t="s">
        <v>406</v>
      </c>
      <c r="AO5" s="2" t="s">
        <v>407</v>
      </c>
      <c r="AP5" s="2" t="s">
        <v>408</v>
      </c>
      <c r="AQ5" s="2" t="s">
        <v>409</v>
      </c>
      <c r="AR5" s="2" t="s">
        <v>410</v>
      </c>
      <c r="AS5" s="2" t="s">
        <v>411</v>
      </c>
    </row>
    <row r="6" spans="1:45" x14ac:dyDescent="0.3">
      <c r="H6" s="2" t="s">
        <v>401</v>
      </c>
      <c r="I6" s="2">
        <v>0</v>
      </c>
      <c r="J6" s="2">
        <v>148</v>
      </c>
      <c r="K6" s="2">
        <v>131</v>
      </c>
      <c r="L6" s="2">
        <v>128</v>
      </c>
      <c r="M6" s="2">
        <v>70</v>
      </c>
      <c r="N6" s="2">
        <v>94</v>
      </c>
      <c r="O6" s="2">
        <v>259</v>
      </c>
      <c r="P6" s="2">
        <v>204</v>
      </c>
      <c r="Q6" s="2">
        <v>76</v>
      </c>
      <c r="R6" s="2">
        <v>203</v>
      </c>
      <c r="S6" s="2">
        <v>177</v>
      </c>
      <c r="U6" s="2" t="s">
        <v>401</v>
      </c>
      <c r="V6" s="2">
        <f>+IF(I6&lt;$D$19,$E$19,IF(I6&lt;$D$20,$E$20,IF(I6&lt;$D$21,$E$21,$E$22)))</f>
        <v>3000</v>
      </c>
      <c r="W6" s="2">
        <f>+IF(J6&lt;$D$19,$E$19,IF(J6&lt;$D$20,$E$20,IF(J6&lt;$D$21,$E$21,$E$22)))</f>
        <v>2085</v>
      </c>
      <c r="X6" s="2">
        <f t="shared" ref="X6:AF6" si="0">+IF(K6&lt;$D$19,$E$19,IF(K6&lt;$D$20,$E$20,IF(K6&lt;$D$21,$E$21,$E$22)))</f>
        <v>2085</v>
      </c>
      <c r="Y6" s="2">
        <f t="shared" si="0"/>
        <v>2085</v>
      </c>
      <c r="Z6" s="2">
        <f t="shared" si="0"/>
        <v>2400</v>
      </c>
      <c r="AA6" s="2">
        <f t="shared" si="0"/>
        <v>2400</v>
      </c>
      <c r="AB6" s="2">
        <f t="shared" si="0"/>
        <v>1750</v>
      </c>
      <c r="AC6" s="2">
        <f t="shared" si="0"/>
        <v>1750</v>
      </c>
      <c r="AD6" s="2">
        <f t="shared" si="0"/>
        <v>2400</v>
      </c>
      <c r="AE6" s="2">
        <f t="shared" si="0"/>
        <v>1750</v>
      </c>
      <c r="AF6" s="2">
        <f t="shared" si="0"/>
        <v>1750</v>
      </c>
      <c r="AH6" s="2" t="s">
        <v>401</v>
      </c>
      <c r="AI6" s="2">
        <v>10000000</v>
      </c>
      <c r="AJ6" s="2">
        <f t="shared" ref="AJ6:AS16" si="1">+W6*J6</f>
        <v>308580</v>
      </c>
      <c r="AK6" s="2">
        <f t="shared" si="1"/>
        <v>273135</v>
      </c>
      <c r="AL6" s="2">
        <f t="shared" si="1"/>
        <v>266880</v>
      </c>
      <c r="AM6" s="2">
        <f t="shared" si="1"/>
        <v>168000</v>
      </c>
      <c r="AN6" s="2">
        <f t="shared" si="1"/>
        <v>225600</v>
      </c>
      <c r="AO6" s="2">
        <f t="shared" si="1"/>
        <v>453250</v>
      </c>
      <c r="AP6" s="2">
        <f t="shared" si="1"/>
        <v>357000</v>
      </c>
      <c r="AQ6" s="2">
        <f t="shared" si="1"/>
        <v>182400</v>
      </c>
      <c r="AR6" s="2">
        <f t="shared" si="1"/>
        <v>355250</v>
      </c>
      <c r="AS6" s="2">
        <f t="shared" si="1"/>
        <v>309750</v>
      </c>
    </row>
    <row r="7" spans="1:45" x14ac:dyDescent="0.3">
      <c r="H7" s="2" t="s">
        <v>402</v>
      </c>
      <c r="I7" s="2">
        <v>148</v>
      </c>
      <c r="J7" s="2">
        <v>0</v>
      </c>
      <c r="K7" s="2">
        <v>65</v>
      </c>
      <c r="L7" s="2">
        <v>22</v>
      </c>
      <c r="M7" s="2">
        <v>189</v>
      </c>
      <c r="N7" s="2">
        <v>252</v>
      </c>
      <c r="O7" s="2">
        <v>342</v>
      </c>
      <c r="P7" s="2">
        <v>286</v>
      </c>
      <c r="Q7" s="2">
        <v>234</v>
      </c>
      <c r="R7" s="2">
        <v>276</v>
      </c>
      <c r="S7" s="2">
        <v>260</v>
      </c>
      <c r="U7" s="2" t="s">
        <v>402</v>
      </c>
      <c r="V7" s="2">
        <f t="shared" ref="V7:V16" si="2">+IF(I7&lt;$D$19,$E$19,IF(I7&lt;$D$20,$E$20,IF(I7&lt;$D$21,$E$21,$E$22)))</f>
        <v>2085</v>
      </c>
      <c r="W7" s="2">
        <f t="shared" ref="W7:W16" si="3">+IF(J7&lt;$D$19,$E$19,IF(J7&lt;$D$20,$E$20,IF(J7&lt;$D$21,$E$21,$E$22)))</f>
        <v>3000</v>
      </c>
      <c r="X7" s="2">
        <f t="shared" ref="X7:X16" si="4">+IF(K7&lt;$D$19,$E$19,IF(K7&lt;$D$20,$E$20,IF(K7&lt;$D$21,$E$21,$E$22)))</f>
        <v>3000</v>
      </c>
      <c r="Y7" s="2">
        <f t="shared" ref="Y7:Y16" si="5">+IF(L7&lt;$D$19,$E$19,IF(L7&lt;$D$20,$E$20,IF(L7&lt;$D$21,$E$21,$E$22)))</f>
        <v>3000</v>
      </c>
      <c r="Z7" s="2">
        <f t="shared" ref="Z7:Z16" si="6">+IF(M7&lt;$D$19,$E$19,IF(M7&lt;$D$20,$E$20,IF(M7&lt;$D$21,$E$21,$E$22)))</f>
        <v>1750</v>
      </c>
      <c r="AA7" s="2">
        <f t="shared" ref="AA7:AA16" si="7">+IF(N7&lt;$D$19,$E$19,IF(N7&lt;$D$20,$E$20,IF(N7&lt;$D$21,$E$21,$E$22)))</f>
        <v>1750</v>
      </c>
      <c r="AB7" s="2">
        <f t="shared" ref="AB7:AB16" si="8">+IF(O7&lt;$D$19,$E$19,IF(O7&lt;$D$20,$E$20,IF(O7&lt;$D$21,$E$21,$E$22)))</f>
        <v>1750</v>
      </c>
      <c r="AC7" s="2">
        <f t="shared" ref="AC7:AC16" si="9">+IF(P7&lt;$D$19,$E$19,IF(P7&lt;$D$20,$E$20,IF(P7&lt;$D$21,$E$21,$E$22)))</f>
        <v>1750</v>
      </c>
      <c r="AD7" s="2">
        <f t="shared" ref="AD7:AD16" si="10">+IF(Q7&lt;$D$19,$E$19,IF(Q7&lt;$D$20,$E$20,IF(Q7&lt;$D$21,$E$21,$E$22)))</f>
        <v>1750</v>
      </c>
      <c r="AE7" s="2">
        <f t="shared" ref="AE7:AE16" si="11">+IF(R7&lt;$D$19,$E$19,IF(R7&lt;$D$20,$E$20,IF(R7&lt;$D$21,$E$21,$E$22)))</f>
        <v>1750</v>
      </c>
      <c r="AF7" s="2">
        <f t="shared" ref="AF7:AF16" si="12">+IF(S7&lt;$D$19,$E$19,IF(S7&lt;$D$20,$E$20,IF(S7&lt;$D$21,$E$21,$E$22)))</f>
        <v>1750</v>
      </c>
      <c r="AH7" s="2" t="s">
        <v>402</v>
      </c>
      <c r="AI7" s="2">
        <f t="shared" ref="AI7:AI16" si="13">+V7*I7</f>
        <v>308580</v>
      </c>
      <c r="AJ7" s="2">
        <v>10000000</v>
      </c>
      <c r="AK7" s="2">
        <f t="shared" si="1"/>
        <v>195000</v>
      </c>
      <c r="AL7" s="2">
        <f t="shared" si="1"/>
        <v>66000</v>
      </c>
      <c r="AM7" s="2">
        <f t="shared" si="1"/>
        <v>330750</v>
      </c>
      <c r="AN7" s="2">
        <f t="shared" si="1"/>
        <v>441000</v>
      </c>
      <c r="AO7" s="2">
        <f t="shared" si="1"/>
        <v>598500</v>
      </c>
      <c r="AP7" s="2">
        <f t="shared" si="1"/>
        <v>500500</v>
      </c>
      <c r="AQ7" s="2">
        <f t="shared" si="1"/>
        <v>409500</v>
      </c>
      <c r="AR7" s="2">
        <f t="shared" si="1"/>
        <v>483000</v>
      </c>
      <c r="AS7" s="2">
        <f t="shared" si="1"/>
        <v>455000</v>
      </c>
    </row>
    <row r="8" spans="1:45" x14ac:dyDescent="0.3">
      <c r="H8" s="2" t="s">
        <v>403</v>
      </c>
      <c r="I8" s="2">
        <v>131</v>
      </c>
      <c r="J8" s="2">
        <v>65</v>
      </c>
      <c r="K8" s="2">
        <v>0</v>
      </c>
      <c r="L8" s="2">
        <v>40</v>
      </c>
      <c r="M8" s="2">
        <v>127</v>
      </c>
      <c r="N8" s="2">
        <v>185</v>
      </c>
      <c r="O8" s="2">
        <v>117</v>
      </c>
      <c r="P8" s="2">
        <v>199</v>
      </c>
      <c r="Q8" s="2">
        <v>235</v>
      </c>
      <c r="R8" s="2">
        <v>288</v>
      </c>
      <c r="S8" s="2">
        <v>262</v>
      </c>
      <c r="U8" s="2" t="s">
        <v>403</v>
      </c>
      <c r="V8" s="2">
        <f t="shared" si="2"/>
        <v>2085</v>
      </c>
      <c r="W8" s="2">
        <f t="shared" si="3"/>
        <v>3000</v>
      </c>
      <c r="X8" s="2">
        <f t="shared" si="4"/>
        <v>3000</v>
      </c>
      <c r="Y8" s="2">
        <f t="shared" si="5"/>
        <v>3000</v>
      </c>
      <c r="Z8" s="2">
        <f t="shared" si="6"/>
        <v>2085</v>
      </c>
      <c r="AA8" s="2">
        <f t="shared" si="7"/>
        <v>1750</v>
      </c>
      <c r="AB8" s="2">
        <f t="shared" si="8"/>
        <v>2085</v>
      </c>
      <c r="AC8" s="2">
        <f t="shared" si="9"/>
        <v>1750</v>
      </c>
      <c r="AD8" s="2">
        <f t="shared" si="10"/>
        <v>1750</v>
      </c>
      <c r="AE8" s="2">
        <f t="shared" si="11"/>
        <v>1750</v>
      </c>
      <c r="AF8" s="2">
        <f t="shared" si="12"/>
        <v>1750</v>
      </c>
      <c r="AH8" s="2" t="s">
        <v>403</v>
      </c>
      <c r="AI8" s="2">
        <f t="shared" si="13"/>
        <v>273135</v>
      </c>
      <c r="AJ8" s="2">
        <f t="shared" si="1"/>
        <v>195000</v>
      </c>
      <c r="AK8" s="2">
        <v>10000000</v>
      </c>
      <c r="AL8" s="2">
        <f t="shared" si="1"/>
        <v>120000</v>
      </c>
      <c r="AM8" s="2">
        <f t="shared" si="1"/>
        <v>264795</v>
      </c>
      <c r="AN8" s="2">
        <f t="shared" si="1"/>
        <v>323750</v>
      </c>
      <c r="AO8" s="2">
        <f t="shared" si="1"/>
        <v>243945</v>
      </c>
      <c r="AP8" s="2">
        <f t="shared" si="1"/>
        <v>348250</v>
      </c>
      <c r="AQ8" s="2">
        <f t="shared" si="1"/>
        <v>411250</v>
      </c>
      <c r="AR8" s="2">
        <f t="shared" si="1"/>
        <v>504000</v>
      </c>
      <c r="AS8" s="2">
        <f t="shared" si="1"/>
        <v>458500</v>
      </c>
    </row>
    <row r="9" spans="1:45" x14ac:dyDescent="0.3">
      <c r="H9" s="2" t="s">
        <v>404</v>
      </c>
      <c r="I9" s="2">
        <v>128</v>
      </c>
      <c r="J9" s="2">
        <v>22</v>
      </c>
      <c r="K9" s="2">
        <v>40</v>
      </c>
      <c r="L9" s="2">
        <v>0</v>
      </c>
      <c r="M9" s="2">
        <v>147</v>
      </c>
      <c r="N9" s="2">
        <v>105</v>
      </c>
      <c r="O9" s="2">
        <v>344</v>
      </c>
      <c r="P9" s="2">
        <v>219</v>
      </c>
      <c r="Q9" s="2">
        <v>235</v>
      </c>
      <c r="R9" s="2">
        <v>230</v>
      </c>
      <c r="S9" s="2">
        <v>262</v>
      </c>
      <c r="U9" s="2" t="s">
        <v>404</v>
      </c>
      <c r="V9" s="2">
        <f t="shared" si="2"/>
        <v>2085</v>
      </c>
      <c r="W9" s="2">
        <f t="shared" si="3"/>
        <v>3000</v>
      </c>
      <c r="X9" s="2">
        <f t="shared" si="4"/>
        <v>3000</v>
      </c>
      <c r="Y9" s="2">
        <f t="shared" si="5"/>
        <v>3000</v>
      </c>
      <c r="Z9" s="2">
        <f t="shared" si="6"/>
        <v>2085</v>
      </c>
      <c r="AA9" s="2">
        <f t="shared" si="7"/>
        <v>2085</v>
      </c>
      <c r="AB9" s="2">
        <f t="shared" si="8"/>
        <v>1750</v>
      </c>
      <c r="AC9" s="2">
        <f t="shared" si="9"/>
        <v>1750</v>
      </c>
      <c r="AD9" s="2">
        <f t="shared" si="10"/>
        <v>1750</v>
      </c>
      <c r="AE9" s="2">
        <f t="shared" si="11"/>
        <v>1750</v>
      </c>
      <c r="AF9" s="2">
        <f t="shared" si="12"/>
        <v>1750</v>
      </c>
      <c r="AH9" s="2" t="s">
        <v>404</v>
      </c>
      <c r="AI9" s="2">
        <f t="shared" si="13"/>
        <v>266880</v>
      </c>
      <c r="AJ9" s="2">
        <f t="shared" si="1"/>
        <v>66000</v>
      </c>
      <c r="AK9" s="2">
        <f t="shared" si="1"/>
        <v>120000</v>
      </c>
      <c r="AL9" s="2">
        <v>10000000</v>
      </c>
      <c r="AM9" s="2">
        <f t="shared" si="1"/>
        <v>306495</v>
      </c>
      <c r="AN9" s="2">
        <f t="shared" si="1"/>
        <v>218925</v>
      </c>
      <c r="AO9" s="2">
        <f t="shared" si="1"/>
        <v>602000</v>
      </c>
      <c r="AP9" s="2">
        <f t="shared" si="1"/>
        <v>383250</v>
      </c>
      <c r="AQ9" s="2">
        <f t="shared" si="1"/>
        <v>411250</v>
      </c>
      <c r="AR9" s="2">
        <f t="shared" si="1"/>
        <v>402500</v>
      </c>
      <c r="AS9" s="2">
        <f t="shared" si="1"/>
        <v>458500</v>
      </c>
    </row>
    <row r="10" spans="1:45" x14ac:dyDescent="0.3">
      <c r="H10" s="2" t="s">
        <v>405</v>
      </c>
      <c r="I10" s="2">
        <v>70</v>
      </c>
      <c r="J10" s="2">
        <v>189</v>
      </c>
      <c r="K10" s="2">
        <v>127</v>
      </c>
      <c r="L10" s="2">
        <v>147</v>
      </c>
      <c r="M10" s="2">
        <v>0</v>
      </c>
      <c r="N10" s="2">
        <v>113</v>
      </c>
      <c r="O10" s="2">
        <v>230</v>
      </c>
      <c r="P10" s="2">
        <v>139</v>
      </c>
      <c r="Q10" s="2">
        <v>180</v>
      </c>
      <c r="R10" s="2">
        <v>297</v>
      </c>
      <c r="S10" s="2">
        <v>246</v>
      </c>
      <c r="U10" s="2" t="s">
        <v>405</v>
      </c>
      <c r="V10" s="2">
        <f t="shared" si="2"/>
        <v>2400</v>
      </c>
      <c r="W10" s="2">
        <f t="shared" si="3"/>
        <v>1750</v>
      </c>
      <c r="X10" s="2">
        <f t="shared" si="4"/>
        <v>2085</v>
      </c>
      <c r="Y10" s="2">
        <f t="shared" si="5"/>
        <v>2085</v>
      </c>
      <c r="Z10" s="2">
        <f t="shared" si="6"/>
        <v>3000</v>
      </c>
      <c r="AA10" s="2">
        <f t="shared" si="7"/>
        <v>2085</v>
      </c>
      <c r="AB10" s="2">
        <f t="shared" si="8"/>
        <v>1750</v>
      </c>
      <c r="AC10" s="2">
        <f t="shared" si="9"/>
        <v>2085</v>
      </c>
      <c r="AD10" s="2">
        <f t="shared" si="10"/>
        <v>1750</v>
      </c>
      <c r="AE10" s="2">
        <f t="shared" si="11"/>
        <v>1750</v>
      </c>
      <c r="AF10" s="2">
        <f t="shared" si="12"/>
        <v>1750</v>
      </c>
      <c r="AH10" s="2" t="s">
        <v>405</v>
      </c>
      <c r="AI10" s="2">
        <f t="shared" si="13"/>
        <v>168000</v>
      </c>
      <c r="AJ10" s="2">
        <f t="shared" si="1"/>
        <v>330750</v>
      </c>
      <c r="AK10" s="2">
        <f t="shared" si="1"/>
        <v>264795</v>
      </c>
      <c r="AL10" s="2">
        <f t="shared" si="1"/>
        <v>306495</v>
      </c>
      <c r="AM10" s="2">
        <v>10000000</v>
      </c>
      <c r="AN10" s="2">
        <f t="shared" si="1"/>
        <v>235605</v>
      </c>
      <c r="AO10" s="2">
        <f t="shared" si="1"/>
        <v>402500</v>
      </c>
      <c r="AP10" s="2">
        <f t="shared" si="1"/>
        <v>289815</v>
      </c>
      <c r="AQ10" s="2">
        <f t="shared" si="1"/>
        <v>315000</v>
      </c>
      <c r="AR10" s="2">
        <f t="shared" si="1"/>
        <v>519750</v>
      </c>
      <c r="AS10" s="2">
        <f t="shared" si="1"/>
        <v>430500</v>
      </c>
    </row>
    <row r="11" spans="1:45" x14ac:dyDescent="0.3">
      <c r="H11" s="2" t="s">
        <v>406</v>
      </c>
      <c r="I11" s="2">
        <v>94</v>
      </c>
      <c r="J11" s="2">
        <v>252</v>
      </c>
      <c r="K11" s="2">
        <v>185</v>
      </c>
      <c r="L11" s="2">
        <v>105</v>
      </c>
      <c r="M11" s="2">
        <v>113</v>
      </c>
      <c r="N11" s="2">
        <v>0</v>
      </c>
      <c r="O11" s="2">
        <v>49</v>
      </c>
      <c r="P11" s="2">
        <v>24</v>
      </c>
      <c r="Q11" s="2">
        <v>96</v>
      </c>
      <c r="R11" s="2">
        <v>148</v>
      </c>
      <c r="S11" s="2">
        <v>124</v>
      </c>
      <c r="U11" s="2" t="s">
        <v>406</v>
      </c>
      <c r="V11" s="2">
        <f t="shared" si="2"/>
        <v>2400</v>
      </c>
      <c r="W11" s="2">
        <f t="shared" si="3"/>
        <v>1750</v>
      </c>
      <c r="X11" s="2">
        <f t="shared" si="4"/>
        <v>1750</v>
      </c>
      <c r="Y11" s="2">
        <f t="shared" si="5"/>
        <v>2085</v>
      </c>
      <c r="Z11" s="2">
        <f t="shared" si="6"/>
        <v>2085</v>
      </c>
      <c r="AA11" s="2">
        <f t="shared" si="7"/>
        <v>3000</v>
      </c>
      <c r="AB11" s="2">
        <f t="shared" si="8"/>
        <v>3000</v>
      </c>
      <c r="AC11" s="2">
        <f t="shared" si="9"/>
        <v>3000</v>
      </c>
      <c r="AD11" s="2">
        <f t="shared" si="10"/>
        <v>2400</v>
      </c>
      <c r="AE11" s="2">
        <f t="shared" si="11"/>
        <v>2085</v>
      </c>
      <c r="AF11" s="2">
        <f t="shared" si="12"/>
        <v>2085</v>
      </c>
      <c r="AH11" s="2" t="s">
        <v>406</v>
      </c>
      <c r="AI11" s="2">
        <f t="shared" si="13"/>
        <v>225600</v>
      </c>
      <c r="AJ11" s="2">
        <f t="shared" si="1"/>
        <v>441000</v>
      </c>
      <c r="AK11" s="2">
        <f t="shared" si="1"/>
        <v>323750</v>
      </c>
      <c r="AL11" s="2">
        <f t="shared" si="1"/>
        <v>218925</v>
      </c>
      <c r="AM11" s="2">
        <f t="shared" si="1"/>
        <v>235605</v>
      </c>
      <c r="AN11" s="2">
        <v>10000000</v>
      </c>
      <c r="AO11" s="2">
        <f t="shared" si="1"/>
        <v>147000</v>
      </c>
      <c r="AP11" s="2">
        <f t="shared" si="1"/>
        <v>72000</v>
      </c>
      <c r="AQ11" s="2">
        <f t="shared" si="1"/>
        <v>230400</v>
      </c>
      <c r="AR11" s="2">
        <f t="shared" si="1"/>
        <v>308580</v>
      </c>
      <c r="AS11" s="2">
        <f t="shared" si="1"/>
        <v>258540</v>
      </c>
    </row>
    <row r="12" spans="1:45" x14ac:dyDescent="0.3">
      <c r="H12" s="2" t="s">
        <v>407</v>
      </c>
      <c r="I12" s="2">
        <v>259</v>
      </c>
      <c r="J12" s="2">
        <v>342</v>
      </c>
      <c r="K12" s="2">
        <v>117</v>
      </c>
      <c r="L12" s="2">
        <v>344</v>
      </c>
      <c r="M12" s="2">
        <v>230</v>
      </c>
      <c r="N12" s="2">
        <v>49</v>
      </c>
      <c r="O12" s="2">
        <v>0</v>
      </c>
      <c r="P12" s="2">
        <v>67</v>
      </c>
      <c r="Q12" s="2">
        <v>116</v>
      </c>
      <c r="R12" s="2">
        <v>114</v>
      </c>
      <c r="S12" s="2">
        <v>82</v>
      </c>
      <c r="U12" s="2" t="s">
        <v>407</v>
      </c>
      <c r="V12" s="2">
        <f t="shared" si="2"/>
        <v>1750</v>
      </c>
      <c r="W12" s="2">
        <f t="shared" si="3"/>
        <v>1750</v>
      </c>
      <c r="X12" s="2">
        <f t="shared" si="4"/>
        <v>2085</v>
      </c>
      <c r="Y12" s="2">
        <f t="shared" si="5"/>
        <v>1750</v>
      </c>
      <c r="Z12" s="2">
        <f t="shared" si="6"/>
        <v>1750</v>
      </c>
      <c r="AA12" s="2">
        <f t="shared" si="7"/>
        <v>3000</v>
      </c>
      <c r="AB12" s="2">
        <f t="shared" si="8"/>
        <v>3000</v>
      </c>
      <c r="AC12" s="2">
        <f t="shared" si="9"/>
        <v>3000</v>
      </c>
      <c r="AD12" s="2">
        <f t="shared" si="10"/>
        <v>2085</v>
      </c>
      <c r="AE12" s="2">
        <f t="shared" si="11"/>
        <v>2085</v>
      </c>
      <c r="AF12" s="2">
        <f t="shared" si="12"/>
        <v>2400</v>
      </c>
      <c r="AH12" s="2" t="s">
        <v>407</v>
      </c>
      <c r="AI12" s="2">
        <f t="shared" si="13"/>
        <v>453250</v>
      </c>
      <c r="AJ12" s="2">
        <f t="shared" si="1"/>
        <v>598500</v>
      </c>
      <c r="AK12" s="2">
        <f t="shared" si="1"/>
        <v>243945</v>
      </c>
      <c r="AL12" s="2">
        <f t="shared" si="1"/>
        <v>602000</v>
      </c>
      <c r="AM12" s="2">
        <f t="shared" si="1"/>
        <v>402500</v>
      </c>
      <c r="AN12" s="2">
        <f t="shared" si="1"/>
        <v>147000</v>
      </c>
      <c r="AO12" s="2">
        <v>10000000</v>
      </c>
      <c r="AP12" s="2">
        <f t="shared" si="1"/>
        <v>201000</v>
      </c>
      <c r="AQ12" s="2">
        <f t="shared" si="1"/>
        <v>241860</v>
      </c>
      <c r="AR12" s="2">
        <f t="shared" si="1"/>
        <v>237690</v>
      </c>
      <c r="AS12" s="2">
        <f t="shared" si="1"/>
        <v>196800</v>
      </c>
    </row>
    <row r="13" spans="1:45" x14ac:dyDescent="0.3">
      <c r="H13" s="2" t="s">
        <v>408</v>
      </c>
      <c r="I13" s="2">
        <v>204</v>
      </c>
      <c r="J13" s="2">
        <v>286</v>
      </c>
      <c r="K13" s="2">
        <v>199</v>
      </c>
      <c r="L13" s="2">
        <v>219</v>
      </c>
      <c r="M13" s="2">
        <v>139</v>
      </c>
      <c r="N13" s="2">
        <v>24</v>
      </c>
      <c r="O13" s="2">
        <v>67</v>
      </c>
      <c r="P13" s="2">
        <v>0</v>
      </c>
      <c r="Q13" s="2">
        <v>132</v>
      </c>
      <c r="R13" s="2">
        <v>185</v>
      </c>
      <c r="S13" s="2">
        <v>152</v>
      </c>
      <c r="U13" s="2" t="s">
        <v>408</v>
      </c>
      <c r="V13" s="2">
        <f t="shared" si="2"/>
        <v>1750</v>
      </c>
      <c r="W13" s="2">
        <f t="shared" si="3"/>
        <v>1750</v>
      </c>
      <c r="X13" s="2">
        <f t="shared" si="4"/>
        <v>1750</v>
      </c>
      <c r="Y13" s="2">
        <f t="shared" si="5"/>
        <v>1750</v>
      </c>
      <c r="Z13" s="2">
        <f t="shared" si="6"/>
        <v>2085</v>
      </c>
      <c r="AA13" s="2">
        <f t="shared" si="7"/>
        <v>3000</v>
      </c>
      <c r="AB13" s="2">
        <f t="shared" si="8"/>
        <v>3000</v>
      </c>
      <c r="AC13" s="2">
        <f t="shared" si="9"/>
        <v>3000</v>
      </c>
      <c r="AD13" s="2">
        <f t="shared" si="10"/>
        <v>2085</v>
      </c>
      <c r="AE13" s="2">
        <f t="shared" si="11"/>
        <v>1750</v>
      </c>
      <c r="AF13" s="2">
        <f t="shared" si="12"/>
        <v>1750</v>
      </c>
      <c r="AH13" s="2" t="s">
        <v>408</v>
      </c>
      <c r="AI13" s="2">
        <f t="shared" si="13"/>
        <v>357000</v>
      </c>
      <c r="AJ13" s="2">
        <f t="shared" si="1"/>
        <v>500500</v>
      </c>
      <c r="AK13" s="2">
        <f t="shared" si="1"/>
        <v>348250</v>
      </c>
      <c r="AL13" s="2">
        <f t="shared" si="1"/>
        <v>383250</v>
      </c>
      <c r="AM13" s="2">
        <f t="shared" si="1"/>
        <v>289815</v>
      </c>
      <c r="AN13" s="2">
        <f t="shared" si="1"/>
        <v>72000</v>
      </c>
      <c r="AO13" s="2">
        <f t="shared" si="1"/>
        <v>201000</v>
      </c>
      <c r="AP13" s="2">
        <v>10000000</v>
      </c>
      <c r="AQ13" s="2">
        <f t="shared" si="1"/>
        <v>275220</v>
      </c>
      <c r="AR13" s="2">
        <f t="shared" si="1"/>
        <v>323750</v>
      </c>
      <c r="AS13" s="2">
        <f t="shared" si="1"/>
        <v>266000</v>
      </c>
    </row>
    <row r="14" spans="1:45" x14ac:dyDescent="0.3">
      <c r="H14" s="2" t="s">
        <v>409</v>
      </c>
      <c r="I14" s="2">
        <v>76</v>
      </c>
      <c r="J14" s="2">
        <v>234</v>
      </c>
      <c r="K14" s="2">
        <v>235</v>
      </c>
      <c r="L14" s="2">
        <v>235</v>
      </c>
      <c r="M14" s="2">
        <v>180</v>
      </c>
      <c r="N14" s="2">
        <v>96</v>
      </c>
      <c r="O14" s="2">
        <v>116</v>
      </c>
      <c r="P14" s="2">
        <v>132</v>
      </c>
      <c r="Q14" s="2">
        <v>0</v>
      </c>
      <c r="R14" s="2">
        <v>40</v>
      </c>
      <c r="S14" s="2">
        <v>35</v>
      </c>
      <c r="U14" s="2" t="s">
        <v>409</v>
      </c>
      <c r="V14" s="2">
        <f t="shared" si="2"/>
        <v>2400</v>
      </c>
      <c r="W14" s="2">
        <f t="shared" si="3"/>
        <v>1750</v>
      </c>
      <c r="X14" s="2">
        <f t="shared" si="4"/>
        <v>1750</v>
      </c>
      <c r="Y14" s="2">
        <f t="shared" si="5"/>
        <v>1750</v>
      </c>
      <c r="Z14" s="2">
        <f t="shared" si="6"/>
        <v>1750</v>
      </c>
      <c r="AA14" s="2">
        <f t="shared" si="7"/>
        <v>2400</v>
      </c>
      <c r="AB14" s="2">
        <f t="shared" si="8"/>
        <v>2085</v>
      </c>
      <c r="AC14" s="2">
        <f t="shared" si="9"/>
        <v>2085</v>
      </c>
      <c r="AD14" s="2">
        <f t="shared" si="10"/>
        <v>3000</v>
      </c>
      <c r="AE14" s="2">
        <f t="shared" si="11"/>
        <v>3000</v>
      </c>
      <c r="AF14" s="2">
        <f t="shared" si="12"/>
        <v>3000</v>
      </c>
      <c r="AH14" s="2" t="s">
        <v>409</v>
      </c>
      <c r="AI14" s="2">
        <f t="shared" si="13"/>
        <v>182400</v>
      </c>
      <c r="AJ14" s="2">
        <f t="shared" si="1"/>
        <v>409500</v>
      </c>
      <c r="AK14" s="2">
        <f t="shared" si="1"/>
        <v>411250</v>
      </c>
      <c r="AL14" s="2">
        <f t="shared" si="1"/>
        <v>411250</v>
      </c>
      <c r="AM14" s="2">
        <f t="shared" si="1"/>
        <v>315000</v>
      </c>
      <c r="AN14" s="2">
        <f t="shared" si="1"/>
        <v>230400</v>
      </c>
      <c r="AO14" s="2">
        <f t="shared" si="1"/>
        <v>241860</v>
      </c>
      <c r="AP14" s="2">
        <f t="shared" si="1"/>
        <v>275220</v>
      </c>
      <c r="AQ14" s="2">
        <v>10000000</v>
      </c>
      <c r="AR14" s="2">
        <f t="shared" si="1"/>
        <v>120000</v>
      </c>
      <c r="AS14" s="2">
        <f t="shared" si="1"/>
        <v>105000</v>
      </c>
    </row>
    <row r="15" spans="1:45" x14ac:dyDescent="0.3">
      <c r="H15" s="2" t="s">
        <v>410</v>
      </c>
      <c r="I15" s="2">
        <v>203</v>
      </c>
      <c r="J15" s="2">
        <v>276</v>
      </c>
      <c r="K15" s="2">
        <v>288</v>
      </c>
      <c r="L15" s="2">
        <v>230</v>
      </c>
      <c r="M15" s="2">
        <v>297</v>
      </c>
      <c r="N15" s="2">
        <v>148</v>
      </c>
      <c r="O15" s="2">
        <v>114</v>
      </c>
      <c r="P15" s="2">
        <v>185</v>
      </c>
      <c r="Q15" s="2">
        <v>40</v>
      </c>
      <c r="R15" s="2">
        <v>0</v>
      </c>
      <c r="S15" s="2">
        <v>32</v>
      </c>
      <c r="U15" s="2" t="s">
        <v>410</v>
      </c>
      <c r="V15" s="2">
        <f>+IF(I15&lt;$D$19,$E$19,IF(I15&lt;$D$20,$E$20,IF(I15&lt;$D$21,$E$21,$E$22)))</f>
        <v>1750</v>
      </c>
      <c r="W15" s="2">
        <f t="shared" si="3"/>
        <v>1750</v>
      </c>
      <c r="X15" s="2">
        <f t="shared" si="4"/>
        <v>1750</v>
      </c>
      <c r="Y15" s="2">
        <f t="shared" si="5"/>
        <v>1750</v>
      </c>
      <c r="Z15" s="2">
        <f t="shared" si="6"/>
        <v>1750</v>
      </c>
      <c r="AA15" s="2">
        <f t="shared" si="7"/>
        <v>2085</v>
      </c>
      <c r="AB15" s="2">
        <f t="shared" si="8"/>
        <v>2085</v>
      </c>
      <c r="AC15" s="2">
        <f t="shared" si="9"/>
        <v>1750</v>
      </c>
      <c r="AD15" s="2">
        <f t="shared" si="10"/>
        <v>3000</v>
      </c>
      <c r="AE15" s="2">
        <f t="shared" si="11"/>
        <v>3000</v>
      </c>
      <c r="AF15" s="2">
        <f t="shared" si="12"/>
        <v>3000</v>
      </c>
      <c r="AH15" s="2" t="s">
        <v>410</v>
      </c>
      <c r="AI15" s="2">
        <f t="shared" si="13"/>
        <v>355250</v>
      </c>
      <c r="AJ15" s="2">
        <f t="shared" si="1"/>
        <v>483000</v>
      </c>
      <c r="AK15" s="2">
        <f t="shared" si="1"/>
        <v>504000</v>
      </c>
      <c r="AL15" s="2">
        <f t="shared" si="1"/>
        <v>402500</v>
      </c>
      <c r="AM15" s="2">
        <f t="shared" si="1"/>
        <v>519750</v>
      </c>
      <c r="AN15" s="2">
        <f t="shared" si="1"/>
        <v>308580</v>
      </c>
      <c r="AO15" s="2">
        <f t="shared" si="1"/>
        <v>237690</v>
      </c>
      <c r="AP15" s="2">
        <f t="shared" si="1"/>
        <v>323750</v>
      </c>
      <c r="AQ15" s="2">
        <f t="shared" si="1"/>
        <v>120000</v>
      </c>
      <c r="AR15" s="2">
        <v>10000000</v>
      </c>
      <c r="AS15" s="2">
        <f t="shared" si="1"/>
        <v>96000</v>
      </c>
    </row>
    <row r="16" spans="1:45" x14ac:dyDescent="0.3">
      <c r="H16" s="2" t="s">
        <v>411</v>
      </c>
      <c r="I16" s="2">
        <v>177</v>
      </c>
      <c r="J16" s="2">
        <v>260</v>
      </c>
      <c r="K16" s="2">
        <v>262</v>
      </c>
      <c r="L16" s="2">
        <v>262</v>
      </c>
      <c r="M16" s="2">
        <v>246</v>
      </c>
      <c r="N16" s="2">
        <v>124</v>
      </c>
      <c r="O16" s="2">
        <v>82</v>
      </c>
      <c r="P16" s="2">
        <v>152</v>
      </c>
      <c r="Q16" s="2">
        <v>35</v>
      </c>
      <c r="R16" s="2">
        <v>32</v>
      </c>
      <c r="S16" s="2">
        <v>0</v>
      </c>
      <c r="U16" s="2" t="s">
        <v>411</v>
      </c>
      <c r="V16" s="2">
        <f t="shared" si="2"/>
        <v>1750</v>
      </c>
      <c r="W16" s="2">
        <f t="shared" si="3"/>
        <v>1750</v>
      </c>
      <c r="X16" s="2">
        <f t="shared" si="4"/>
        <v>1750</v>
      </c>
      <c r="Y16" s="2">
        <f t="shared" si="5"/>
        <v>1750</v>
      </c>
      <c r="Z16" s="2">
        <f t="shared" si="6"/>
        <v>1750</v>
      </c>
      <c r="AA16" s="2">
        <f t="shared" si="7"/>
        <v>2085</v>
      </c>
      <c r="AB16" s="2">
        <f t="shared" si="8"/>
        <v>2400</v>
      </c>
      <c r="AC16" s="2">
        <f t="shared" si="9"/>
        <v>1750</v>
      </c>
      <c r="AD16" s="2">
        <f t="shared" si="10"/>
        <v>3000</v>
      </c>
      <c r="AE16" s="2">
        <f t="shared" si="11"/>
        <v>3000</v>
      </c>
      <c r="AF16" s="2">
        <f t="shared" si="12"/>
        <v>3000</v>
      </c>
      <c r="AH16" s="2" t="s">
        <v>411</v>
      </c>
      <c r="AI16" s="2">
        <f t="shared" si="13"/>
        <v>309750</v>
      </c>
      <c r="AJ16" s="2">
        <f t="shared" si="1"/>
        <v>455000</v>
      </c>
      <c r="AK16" s="2">
        <f t="shared" si="1"/>
        <v>458500</v>
      </c>
      <c r="AL16" s="2">
        <f t="shared" si="1"/>
        <v>458500</v>
      </c>
      <c r="AM16" s="2">
        <f t="shared" si="1"/>
        <v>430500</v>
      </c>
      <c r="AN16" s="2">
        <f t="shared" si="1"/>
        <v>258540</v>
      </c>
      <c r="AO16" s="2">
        <f t="shared" si="1"/>
        <v>196800</v>
      </c>
      <c r="AP16" s="2">
        <f t="shared" si="1"/>
        <v>266000</v>
      </c>
      <c r="AQ16" s="2">
        <f t="shared" si="1"/>
        <v>105000</v>
      </c>
      <c r="AR16" s="2">
        <f t="shared" si="1"/>
        <v>96000</v>
      </c>
      <c r="AS16" s="2">
        <v>10000000</v>
      </c>
    </row>
    <row r="17" spans="3:45" x14ac:dyDescent="0.3">
      <c r="C17" s="47" t="s">
        <v>418</v>
      </c>
      <c r="D17" s="47"/>
    </row>
    <row r="18" spans="3:45" x14ac:dyDescent="0.3">
      <c r="C18" t="s">
        <v>419</v>
      </c>
      <c r="D18" t="s">
        <v>420</v>
      </c>
      <c r="E18" t="s">
        <v>421</v>
      </c>
      <c r="AS18">
        <f>+MAX(AI6:AS16)</f>
        <v>10000000</v>
      </c>
    </row>
    <row r="19" spans="3:45" x14ac:dyDescent="0.3">
      <c r="C19">
        <v>20</v>
      </c>
      <c r="D19">
        <v>70</v>
      </c>
      <c r="E19">
        <v>3000</v>
      </c>
    </row>
    <row r="20" spans="3:45" x14ac:dyDescent="0.3">
      <c r="C20">
        <v>70.099999999999994</v>
      </c>
      <c r="D20">
        <v>105</v>
      </c>
      <c r="E20">
        <v>2400</v>
      </c>
    </row>
    <row r="21" spans="3:45" x14ac:dyDescent="0.3">
      <c r="C21">
        <v>105.1</v>
      </c>
      <c r="D21">
        <v>150</v>
      </c>
      <c r="E21">
        <v>2085</v>
      </c>
    </row>
    <row r="22" spans="3:45" x14ac:dyDescent="0.3">
      <c r="C22">
        <v>150.1</v>
      </c>
      <c r="D22">
        <v>345</v>
      </c>
      <c r="E22">
        <v>1750</v>
      </c>
    </row>
    <row r="23" spans="3:45" x14ac:dyDescent="0.3">
      <c r="H23" s="38" t="s">
        <v>400</v>
      </c>
      <c r="I23" s="38" t="s">
        <v>413</v>
      </c>
      <c r="J23" s="38" t="s">
        <v>414</v>
      </c>
      <c r="K23" s="38" t="s">
        <v>415</v>
      </c>
    </row>
    <row r="24" spans="3:45" x14ac:dyDescent="0.3">
      <c r="H24" s="2" t="s">
        <v>409</v>
      </c>
      <c r="I24" s="2" t="s">
        <v>410</v>
      </c>
      <c r="J24" s="2">
        <v>40</v>
      </c>
      <c r="K24" s="37">
        <v>120000</v>
      </c>
    </row>
    <row r="25" spans="3:45" x14ac:dyDescent="0.3">
      <c r="H25" s="2" t="s">
        <v>403</v>
      </c>
      <c r="I25" s="2" t="s">
        <v>410</v>
      </c>
      <c r="J25" s="2">
        <v>50</v>
      </c>
      <c r="K25" s="37">
        <v>150000</v>
      </c>
    </row>
    <row r="26" spans="3:45" x14ac:dyDescent="0.3">
      <c r="H26" s="2" t="s">
        <v>404</v>
      </c>
      <c r="I26" s="2" t="s">
        <v>410</v>
      </c>
      <c r="J26" s="2">
        <v>80</v>
      </c>
      <c r="K26" s="37">
        <v>200000</v>
      </c>
    </row>
    <row r="27" spans="3:45" x14ac:dyDescent="0.3">
      <c r="H27" s="2" t="s">
        <v>406</v>
      </c>
      <c r="I27" s="2" t="s">
        <v>410</v>
      </c>
      <c r="J27" s="2">
        <v>90</v>
      </c>
      <c r="K27" s="37">
        <v>220000</v>
      </c>
    </row>
    <row r="28" spans="3:45" x14ac:dyDescent="0.3">
      <c r="H28" s="2" t="s">
        <v>408</v>
      </c>
      <c r="I28" s="2" t="s">
        <v>410</v>
      </c>
      <c r="J28" s="2">
        <v>100</v>
      </c>
      <c r="K28" s="37">
        <v>230000</v>
      </c>
    </row>
    <row r="29" spans="3:45" x14ac:dyDescent="0.3">
      <c r="H29" s="2" t="s">
        <v>405</v>
      </c>
      <c r="I29" s="2" t="s">
        <v>410</v>
      </c>
      <c r="J29" s="2">
        <v>110</v>
      </c>
      <c r="K29" s="37">
        <v>240000</v>
      </c>
    </row>
    <row r="30" spans="3:45" x14ac:dyDescent="0.3">
      <c r="H30" s="2" t="s">
        <v>402</v>
      </c>
      <c r="I30" s="2" t="s">
        <v>410</v>
      </c>
      <c r="J30" s="2">
        <v>120</v>
      </c>
      <c r="K30" s="37">
        <v>250000</v>
      </c>
    </row>
    <row r="31" spans="3:45" x14ac:dyDescent="0.3">
      <c r="H31" s="2" t="s">
        <v>407</v>
      </c>
      <c r="I31" s="2" t="s">
        <v>410</v>
      </c>
      <c r="J31" s="2">
        <v>150</v>
      </c>
      <c r="K31" s="37">
        <v>300000</v>
      </c>
    </row>
    <row r="32" spans="3:45" x14ac:dyDescent="0.3">
      <c r="H32" s="2" t="s">
        <v>401</v>
      </c>
      <c r="I32" s="2" t="s">
        <v>410</v>
      </c>
      <c r="J32" s="2">
        <v>200</v>
      </c>
      <c r="K32" s="37">
        <v>350000</v>
      </c>
    </row>
    <row r="33" spans="8:27" x14ac:dyDescent="0.3">
      <c r="H33" s="2"/>
      <c r="I33" s="2" t="s">
        <v>416</v>
      </c>
      <c r="J33" s="2" t="s">
        <v>417</v>
      </c>
      <c r="K33" s="37">
        <v>232000</v>
      </c>
    </row>
    <row r="36" spans="8:27" x14ac:dyDescent="0.3">
      <c r="H36" t="s">
        <v>414</v>
      </c>
      <c r="M36" t="s">
        <v>441</v>
      </c>
      <c r="S36" t="s">
        <v>442</v>
      </c>
      <c r="X36" t="s">
        <v>443</v>
      </c>
    </row>
    <row r="37" spans="8:27" x14ac:dyDescent="0.3">
      <c r="H37" s="2" t="s">
        <v>255</v>
      </c>
      <c r="I37" s="2"/>
      <c r="J37" s="2"/>
      <c r="K37" s="2"/>
      <c r="M37" s="2" t="s">
        <v>255</v>
      </c>
      <c r="N37" s="2"/>
      <c r="O37" s="2"/>
      <c r="P37" s="2"/>
      <c r="S37" s="2" t="s">
        <v>255</v>
      </c>
      <c r="T37" s="2"/>
      <c r="U37" s="2"/>
      <c r="V37" s="2"/>
      <c r="X37" s="2" t="s">
        <v>255</v>
      </c>
      <c r="Y37" s="2"/>
      <c r="Z37" s="2"/>
      <c r="AA37" s="2"/>
    </row>
    <row r="38" spans="8:27" x14ac:dyDescent="0.3">
      <c r="H38" s="2"/>
      <c r="I38" s="2" t="s">
        <v>444</v>
      </c>
      <c r="J38" s="2" t="s">
        <v>433</v>
      </c>
      <c r="K38" s="2" t="s">
        <v>445</v>
      </c>
      <c r="M38" s="2"/>
      <c r="N38" s="2" t="s">
        <v>444</v>
      </c>
      <c r="O38" s="2" t="s">
        <v>433</v>
      </c>
      <c r="P38" s="2" t="s">
        <v>445</v>
      </c>
      <c r="S38" s="2"/>
      <c r="T38" s="2" t="s">
        <v>444</v>
      </c>
      <c r="U38" s="2" t="s">
        <v>433</v>
      </c>
      <c r="V38" s="2" t="s">
        <v>402</v>
      </c>
      <c r="X38" s="2"/>
      <c r="Y38" s="2" t="s">
        <v>402</v>
      </c>
      <c r="Z38" s="2" t="s">
        <v>433</v>
      </c>
      <c r="AA38" s="2" t="s">
        <v>436</v>
      </c>
    </row>
    <row r="39" spans="8:27" x14ac:dyDescent="0.3">
      <c r="H39" s="2" t="s">
        <v>402</v>
      </c>
      <c r="I39" s="2">
        <v>37</v>
      </c>
      <c r="J39" s="2">
        <v>91</v>
      </c>
      <c r="K39" s="2">
        <v>20</v>
      </c>
      <c r="M39" s="2" t="s">
        <v>402</v>
      </c>
      <c r="N39" s="2">
        <f>+IF(I39&lt;$D$19,$E$19,IF(I6&lt;$D$20,$E$20,IF(I6&lt;$D$21,$E$21,$E$22)))</f>
        <v>3000</v>
      </c>
      <c r="O39" s="2">
        <f t="shared" ref="O39:P39" si="14">+IF(J39&lt;$D$19,$E$19,IF(J6&lt;$D$20,$E$20,IF(J6&lt;$D$21,$E$21,$E$22)))</f>
        <v>2085</v>
      </c>
      <c r="P39" s="2">
        <f t="shared" si="14"/>
        <v>3000</v>
      </c>
      <c r="S39" s="2" t="s">
        <v>402</v>
      </c>
      <c r="T39" s="2">
        <f>+N39*I39</f>
        <v>111000</v>
      </c>
      <c r="U39" s="2">
        <f t="shared" ref="U39:V39" si="15">+O39*J39</f>
        <v>189735</v>
      </c>
      <c r="V39" s="2">
        <f t="shared" si="15"/>
        <v>60000</v>
      </c>
      <c r="X39" s="2" t="s">
        <v>432</v>
      </c>
      <c r="Y39" s="2">
        <f>+T39/1000</f>
        <v>111</v>
      </c>
      <c r="Z39" s="2">
        <f t="shared" ref="Z39:AA39" si="16">+U39/1000</f>
        <v>189.73500000000001</v>
      </c>
      <c r="AA39" s="2">
        <f t="shared" si="16"/>
        <v>60</v>
      </c>
    </row>
    <row r="42" spans="8:27" x14ac:dyDescent="0.3">
      <c r="H42" s="2" t="s">
        <v>381</v>
      </c>
      <c r="I42" s="2"/>
      <c r="M42" s="2" t="s">
        <v>381</v>
      </c>
      <c r="N42" s="2"/>
      <c r="S42" s="2" t="s">
        <v>381</v>
      </c>
      <c r="T42" s="2"/>
      <c r="X42" s="2" t="s">
        <v>381</v>
      </c>
      <c r="Y42" s="2"/>
    </row>
    <row r="43" spans="8:27" x14ac:dyDescent="0.3">
      <c r="H43" s="2"/>
      <c r="I43" s="2" t="s">
        <v>437</v>
      </c>
      <c r="M43" s="2"/>
      <c r="N43" s="2" t="s">
        <v>437</v>
      </c>
      <c r="S43" s="2"/>
      <c r="T43" s="2" t="s">
        <v>437</v>
      </c>
      <c r="X43" s="2"/>
      <c r="Y43" s="2" t="s">
        <v>437</v>
      </c>
    </row>
    <row r="44" spans="8:27" x14ac:dyDescent="0.3">
      <c r="H44" s="2" t="s">
        <v>406</v>
      </c>
      <c r="I44" s="2">
        <v>20</v>
      </c>
      <c r="M44" s="2" t="s">
        <v>406</v>
      </c>
      <c r="N44" s="2">
        <f>+IF(I44&lt;$D$19,$E$19,IF(I6&lt;$D$20,$E$20,IF(I6&lt;$D$21,$E$21,$E$22)))</f>
        <v>3000</v>
      </c>
      <c r="S44" s="2" t="s">
        <v>406</v>
      </c>
      <c r="T44" s="2">
        <f>+N44*I44</f>
        <v>60000</v>
      </c>
      <c r="X44" s="2" t="s">
        <v>406</v>
      </c>
      <c r="Y44" s="2">
        <f>+T44/1000</f>
        <v>60</v>
      </c>
    </row>
    <row r="47" spans="8:27" x14ac:dyDescent="0.3">
      <c r="H47" s="2" t="s">
        <v>349</v>
      </c>
      <c r="I47" s="2"/>
      <c r="J47" s="2"/>
      <c r="M47" s="2" t="s">
        <v>349</v>
      </c>
      <c r="N47" s="2"/>
      <c r="O47" s="2"/>
      <c r="S47" s="2" t="s">
        <v>349</v>
      </c>
      <c r="T47" s="2"/>
      <c r="U47" s="2"/>
      <c r="X47" s="2" t="s">
        <v>349</v>
      </c>
      <c r="Y47" s="2"/>
      <c r="Z47" s="2"/>
    </row>
    <row r="48" spans="8:27" x14ac:dyDescent="0.3">
      <c r="H48" s="2"/>
      <c r="I48" s="2" t="s">
        <v>435</v>
      </c>
      <c r="J48" s="2" t="s">
        <v>438</v>
      </c>
      <c r="M48" s="2"/>
      <c r="N48" s="2" t="s">
        <v>435</v>
      </c>
      <c r="O48" s="2" t="s">
        <v>438</v>
      </c>
      <c r="S48" s="2"/>
      <c r="T48" s="2" t="s">
        <v>435</v>
      </c>
      <c r="U48" s="2" t="s">
        <v>438</v>
      </c>
      <c r="X48" s="2"/>
      <c r="Y48" s="2" t="s">
        <v>435</v>
      </c>
      <c r="Z48" s="2" t="s">
        <v>438</v>
      </c>
    </row>
    <row r="49" spans="8:26" x14ac:dyDescent="0.3">
      <c r="H49" s="2" t="s">
        <v>434</v>
      </c>
      <c r="I49" s="2">
        <v>51</v>
      </c>
      <c r="J49" s="2">
        <v>20</v>
      </c>
      <c r="M49" s="2" t="s">
        <v>434</v>
      </c>
      <c r="N49" s="2">
        <f>+IF(I49&lt;$D$19,$E$19,IF(I6&lt;$D$20,$E$20,IF(I6&lt;$D$21,$E$21,$E$22)))</f>
        <v>3000</v>
      </c>
      <c r="O49" s="2">
        <f>+IF(J49&lt;$D$19,$E$19,IF(J6&lt;$D$20,$E$20,IF(J6&lt;$D$21,$E$21,$E$22)))</f>
        <v>3000</v>
      </c>
      <c r="S49" s="2" t="s">
        <v>434</v>
      </c>
      <c r="T49" s="2">
        <f>+I49*N49</f>
        <v>153000</v>
      </c>
      <c r="U49" s="2">
        <f>+J49*O49</f>
        <v>60000</v>
      </c>
      <c r="X49" s="2" t="s">
        <v>434</v>
      </c>
      <c r="Y49" s="2">
        <f>+T49/1000</f>
        <v>153</v>
      </c>
      <c r="Z49" s="2">
        <f>+U49/1000</f>
        <v>60</v>
      </c>
    </row>
    <row r="52" spans="8:26" x14ac:dyDescent="0.3">
      <c r="H52" s="38" t="s">
        <v>400</v>
      </c>
      <c r="I52" s="38" t="s">
        <v>413</v>
      </c>
      <c r="J52" s="38" t="s">
        <v>414</v>
      </c>
      <c r="K52" s="38" t="s">
        <v>447</v>
      </c>
      <c r="L52" s="2" t="s">
        <v>448</v>
      </c>
    </row>
    <row r="53" spans="8:26" x14ac:dyDescent="0.3">
      <c r="H53" s="2" t="s">
        <v>402</v>
      </c>
      <c r="I53" s="2" t="s">
        <v>410</v>
      </c>
      <c r="J53" s="2">
        <v>286</v>
      </c>
      <c r="K53">
        <v>1750</v>
      </c>
      <c r="L53">
        <f>+K53*J53</f>
        <v>500500</v>
      </c>
      <c r="M53">
        <f>+L53/1000</f>
        <v>500.5</v>
      </c>
    </row>
    <row r="54" spans="8:26" x14ac:dyDescent="0.3">
      <c r="H54" s="2" t="s">
        <v>446</v>
      </c>
      <c r="I54" s="2" t="s">
        <v>410</v>
      </c>
      <c r="J54" s="2">
        <v>211</v>
      </c>
      <c r="K54">
        <v>1750</v>
      </c>
      <c r="L54">
        <f t="shared" ref="L54:L55" si="17">+K54*J54</f>
        <v>369250</v>
      </c>
      <c r="M54">
        <f t="shared" ref="M54:M55" si="18">+L54/1000</f>
        <v>369.25</v>
      </c>
    </row>
    <row r="55" spans="8:26" x14ac:dyDescent="0.3">
      <c r="H55" s="2" t="s">
        <v>406</v>
      </c>
      <c r="I55" s="2" t="s">
        <v>410</v>
      </c>
      <c r="J55" s="2">
        <v>149</v>
      </c>
      <c r="K55">
        <v>1750</v>
      </c>
      <c r="L55">
        <f t="shared" si="17"/>
        <v>260750</v>
      </c>
      <c r="M55">
        <f t="shared" si="18"/>
        <v>260.75</v>
      </c>
    </row>
  </sheetData>
  <mergeCells count="1">
    <mergeCell ref="C17:D17"/>
  </mergeCells>
  <hyperlinks>
    <hyperlink ref="A1" location="Contenido!A1" display="Contenido" xr:uid="{893039F1-7CB3-4ADE-A2A8-995B39B3D129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F14E-F100-48F2-A80C-C70FBB7842C8}">
  <dimension ref="A1:N146"/>
  <sheetViews>
    <sheetView topLeftCell="A122" workbookViewId="0">
      <selection activeCell="C3" sqref="C3:N146"/>
    </sheetView>
  </sheetViews>
  <sheetFormatPr baseColWidth="10" defaultColWidth="11.44140625" defaultRowHeight="14.4" x14ac:dyDescent="0.3"/>
  <cols>
    <col min="2" max="2" width="36.5546875" customWidth="1"/>
    <col min="3" max="5" width="9.6640625" customWidth="1"/>
  </cols>
  <sheetData>
    <row r="1" spans="1:14" x14ac:dyDescent="0.3">
      <c r="A1" s="4" t="s">
        <v>32</v>
      </c>
      <c r="C1" s="49" t="s">
        <v>396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x14ac:dyDescent="0.3">
      <c r="C2" s="5" t="s">
        <v>40</v>
      </c>
      <c r="D2" s="5" t="s">
        <v>41</v>
      </c>
      <c r="E2" s="5" t="s">
        <v>42</v>
      </c>
      <c r="F2" s="5" t="s">
        <v>79</v>
      </c>
      <c r="G2" s="5" t="s">
        <v>80</v>
      </c>
      <c r="H2" s="5" t="s">
        <v>81</v>
      </c>
      <c r="I2" s="5" t="s">
        <v>82</v>
      </c>
      <c r="J2" s="5" t="s">
        <v>83</v>
      </c>
      <c r="K2" s="5" t="s">
        <v>84</v>
      </c>
      <c r="L2" s="5" t="s">
        <v>85</v>
      </c>
      <c r="M2" s="5" t="s">
        <v>86</v>
      </c>
      <c r="N2" s="5" t="s">
        <v>87</v>
      </c>
    </row>
    <row r="3" spans="1:14" x14ac:dyDescent="0.3">
      <c r="B3" s="2" t="s">
        <v>96</v>
      </c>
      <c r="C3" s="2">
        <v>111</v>
      </c>
      <c r="D3" s="2">
        <v>111</v>
      </c>
      <c r="E3" s="2">
        <v>111</v>
      </c>
      <c r="F3" s="2">
        <v>111</v>
      </c>
      <c r="G3" s="2">
        <v>111</v>
      </c>
      <c r="H3" s="2">
        <v>111</v>
      </c>
      <c r="I3" s="2">
        <v>111</v>
      </c>
      <c r="J3" s="2">
        <v>111</v>
      </c>
      <c r="K3" s="2">
        <v>111</v>
      </c>
      <c r="L3" s="2">
        <v>111</v>
      </c>
      <c r="M3" s="2">
        <v>111</v>
      </c>
      <c r="N3" s="2">
        <v>111</v>
      </c>
    </row>
    <row r="4" spans="1:14" x14ac:dyDescent="0.3">
      <c r="B4" s="2" t="s">
        <v>97</v>
      </c>
      <c r="C4" s="2">
        <v>111</v>
      </c>
      <c r="D4" s="2">
        <v>111</v>
      </c>
      <c r="E4" s="2">
        <v>111</v>
      </c>
      <c r="F4" s="2">
        <v>111</v>
      </c>
      <c r="G4" s="2">
        <v>111</v>
      </c>
      <c r="H4" s="2">
        <v>111</v>
      </c>
      <c r="I4" s="2">
        <v>111</v>
      </c>
      <c r="J4" s="2">
        <v>111</v>
      </c>
      <c r="K4" s="2">
        <v>111</v>
      </c>
      <c r="L4" s="2">
        <v>111</v>
      </c>
      <c r="M4" s="2">
        <v>111</v>
      </c>
      <c r="N4" s="2">
        <v>111</v>
      </c>
    </row>
    <row r="5" spans="1:14" x14ac:dyDescent="0.3">
      <c r="B5" s="2" t="s">
        <v>98</v>
      </c>
      <c r="C5" s="2">
        <v>111</v>
      </c>
      <c r="D5" s="2">
        <v>111</v>
      </c>
      <c r="E5" s="2">
        <v>111</v>
      </c>
      <c r="F5" s="2">
        <v>111</v>
      </c>
      <c r="G5" s="2">
        <v>111</v>
      </c>
      <c r="H5" s="2">
        <v>111</v>
      </c>
      <c r="I5" s="2">
        <v>111</v>
      </c>
      <c r="J5" s="2">
        <v>111</v>
      </c>
      <c r="K5" s="2">
        <v>111</v>
      </c>
      <c r="L5" s="2">
        <v>111</v>
      </c>
      <c r="M5" s="2">
        <v>111</v>
      </c>
      <c r="N5" s="2">
        <v>111</v>
      </c>
    </row>
    <row r="6" spans="1:14" x14ac:dyDescent="0.3">
      <c r="B6" s="2" t="s">
        <v>99</v>
      </c>
      <c r="C6" s="2">
        <v>111</v>
      </c>
      <c r="D6" s="2">
        <v>111</v>
      </c>
      <c r="E6" s="2">
        <v>111</v>
      </c>
      <c r="F6" s="2">
        <v>111</v>
      </c>
      <c r="G6" s="2">
        <v>111</v>
      </c>
      <c r="H6" s="2">
        <v>111</v>
      </c>
      <c r="I6" s="2">
        <v>111</v>
      </c>
      <c r="J6" s="2">
        <v>111</v>
      </c>
      <c r="K6" s="2">
        <v>111</v>
      </c>
      <c r="L6" s="2">
        <v>111</v>
      </c>
      <c r="M6" s="2">
        <v>111</v>
      </c>
      <c r="N6" s="2">
        <v>111</v>
      </c>
    </row>
    <row r="7" spans="1:14" x14ac:dyDescent="0.3">
      <c r="B7" s="2" t="s">
        <v>100</v>
      </c>
      <c r="C7" s="2">
        <v>111</v>
      </c>
      <c r="D7" s="2">
        <v>111</v>
      </c>
      <c r="E7" s="2">
        <v>111</v>
      </c>
      <c r="F7" s="2">
        <v>111</v>
      </c>
      <c r="G7" s="2">
        <v>111</v>
      </c>
      <c r="H7" s="2">
        <v>111</v>
      </c>
      <c r="I7" s="2">
        <v>111</v>
      </c>
      <c r="J7" s="2">
        <v>111</v>
      </c>
      <c r="K7" s="2">
        <v>111</v>
      </c>
      <c r="L7" s="2">
        <v>111</v>
      </c>
      <c r="M7" s="2">
        <v>111</v>
      </c>
      <c r="N7" s="2">
        <v>111</v>
      </c>
    </row>
    <row r="8" spans="1:14" x14ac:dyDescent="0.3">
      <c r="B8" s="2" t="s">
        <v>101</v>
      </c>
      <c r="C8" s="2">
        <v>111</v>
      </c>
      <c r="D8" s="2">
        <v>111</v>
      </c>
      <c r="E8" s="2">
        <v>111</v>
      </c>
      <c r="F8" s="2">
        <v>111</v>
      </c>
      <c r="G8" s="2">
        <v>111</v>
      </c>
      <c r="H8" s="2">
        <v>111</v>
      </c>
      <c r="I8" s="2">
        <v>111</v>
      </c>
      <c r="J8" s="2">
        <v>111</v>
      </c>
      <c r="K8" s="2">
        <v>111</v>
      </c>
      <c r="L8" s="2">
        <v>111</v>
      </c>
      <c r="M8" s="2">
        <v>111</v>
      </c>
      <c r="N8" s="2">
        <v>111</v>
      </c>
    </row>
    <row r="9" spans="1:14" x14ac:dyDescent="0.3">
      <c r="B9" s="2" t="s">
        <v>103</v>
      </c>
      <c r="C9" s="2">
        <v>111</v>
      </c>
      <c r="D9" s="2">
        <v>111</v>
      </c>
      <c r="E9" s="2">
        <v>111</v>
      </c>
      <c r="F9" s="2">
        <v>111</v>
      </c>
      <c r="G9" s="2">
        <v>111</v>
      </c>
      <c r="H9" s="2">
        <v>111</v>
      </c>
      <c r="I9" s="2">
        <v>111</v>
      </c>
      <c r="J9" s="2">
        <v>111</v>
      </c>
      <c r="K9" s="2">
        <v>111</v>
      </c>
      <c r="L9" s="2">
        <v>111</v>
      </c>
      <c r="M9" s="2">
        <v>111</v>
      </c>
      <c r="N9" s="2">
        <v>111</v>
      </c>
    </row>
    <row r="10" spans="1:14" x14ac:dyDescent="0.3">
      <c r="B10" s="2" t="s">
        <v>104</v>
      </c>
      <c r="C10" s="2">
        <v>111</v>
      </c>
      <c r="D10" s="2">
        <v>111</v>
      </c>
      <c r="E10" s="2">
        <v>111</v>
      </c>
      <c r="F10" s="2">
        <v>111</v>
      </c>
      <c r="G10" s="2">
        <v>111</v>
      </c>
      <c r="H10" s="2">
        <v>111</v>
      </c>
      <c r="I10" s="2">
        <v>111</v>
      </c>
      <c r="J10" s="2">
        <v>111</v>
      </c>
      <c r="K10" s="2">
        <v>111</v>
      </c>
      <c r="L10" s="2">
        <v>111</v>
      </c>
      <c r="M10" s="2">
        <v>111</v>
      </c>
      <c r="N10" s="2">
        <v>111</v>
      </c>
    </row>
    <row r="11" spans="1:14" x14ac:dyDescent="0.3">
      <c r="B11" s="2" t="s">
        <v>102</v>
      </c>
      <c r="C11" s="2">
        <v>111</v>
      </c>
      <c r="D11" s="2">
        <v>111</v>
      </c>
      <c r="E11" s="2">
        <v>111</v>
      </c>
      <c r="F11" s="2">
        <v>111</v>
      </c>
      <c r="G11" s="2">
        <v>111</v>
      </c>
      <c r="H11" s="2">
        <v>111</v>
      </c>
      <c r="I11" s="2">
        <v>111</v>
      </c>
      <c r="J11" s="2">
        <v>111</v>
      </c>
      <c r="K11" s="2">
        <v>111</v>
      </c>
      <c r="L11" s="2">
        <v>111</v>
      </c>
      <c r="M11" s="2">
        <v>111</v>
      </c>
      <c r="N11" s="2">
        <v>111</v>
      </c>
    </row>
    <row r="12" spans="1:14" x14ac:dyDescent="0.3">
      <c r="B12" s="2" t="s">
        <v>105</v>
      </c>
      <c r="C12" s="2">
        <v>111</v>
      </c>
      <c r="D12" s="2">
        <v>111</v>
      </c>
      <c r="E12" s="2">
        <v>111</v>
      </c>
      <c r="F12" s="2">
        <v>111</v>
      </c>
      <c r="G12" s="2">
        <v>111</v>
      </c>
      <c r="H12" s="2">
        <v>111</v>
      </c>
      <c r="I12" s="2">
        <v>111</v>
      </c>
      <c r="J12" s="2">
        <v>111</v>
      </c>
      <c r="K12" s="2">
        <v>111</v>
      </c>
      <c r="L12" s="2">
        <v>111</v>
      </c>
      <c r="M12" s="2">
        <v>111</v>
      </c>
      <c r="N12" s="2">
        <v>111</v>
      </c>
    </row>
    <row r="13" spans="1:14" x14ac:dyDescent="0.3">
      <c r="B13" s="2" t="s">
        <v>106</v>
      </c>
      <c r="C13" s="2">
        <v>111</v>
      </c>
      <c r="D13" s="2">
        <v>111</v>
      </c>
      <c r="E13" s="2">
        <v>111</v>
      </c>
      <c r="F13" s="2">
        <v>111</v>
      </c>
      <c r="G13" s="2">
        <v>111</v>
      </c>
      <c r="H13" s="2">
        <v>111</v>
      </c>
      <c r="I13" s="2">
        <v>111</v>
      </c>
      <c r="J13" s="2">
        <v>111</v>
      </c>
      <c r="K13" s="2">
        <v>111</v>
      </c>
      <c r="L13" s="2">
        <v>111</v>
      </c>
      <c r="M13" s="2">
        <v>111</v>
      </c>
      <c r="N13" s="2">
        <v>111</v>
      </c>
    </row>
    <row r="14" spans="1:14" x14ac:dyDescent="0.3">
      <c r="B14" s="2" t="s">
        <v>107</v>
      </c>
      <c r="C14" s="2">
        <v>111</v>
      </c>
      <c r="D14" s="2">
        <v>111</v>
      </c>
      <c r="E14" s="2">
        <v>111</v>
      </c>
      <c r="F14" s="2">
        <v>111</v>
      </c>
      <c r="G14" s="2">
        <v>111</v>
      </c>
      <c r="H14" s="2">
        <v>111</v>
      </c>
      <c r="I14" s="2">
        <v>111</v>
      </c>
      <c r="J14" s="2">
        <v>111</v>
      </c>
      <c r="K14" s="2">
        <v>111</v>
      </c>
      <c r="L14" s="2">
        <v>111</v>
      </c>
      <c r="M14" s="2">
        <v>111</v>
      </c>
      <c r="N14" s="2">
        <v>111</v>
      </c>
    </row>
    <row r="15" spans="1:14" x14ac:dyDescent="0.3">
      <c r="B15" s="2" t="s">
        <v>108</v>
      </c>
      <c r="C15" s="2">
        <v>111</v>
      </c>
      <c r="D15" s="2">
        <v>111</v>
      </c>
      <c r="E15" s="2">
        <v>111</v>
      </c>
      <c r="F15" s="2">
        <v>111</v>
      </c>
      <c r="G15" s="2">
        <v>111</v>
      </c>
      <c r="H15" s="2">
        <v>111</v>
      </c>
      <c r="I15" s="2">
        <v>111</v>
      </c>
      <c r="J15" s="2">
        <v>111</v>
      </c>
      <c r="K15" s="2">
        <v>111</v>
      </c>
      <c r="L15" s="2">
        <v>111</v>
      </c>
      <c r="M15" s="2">
        <v>111</v>
      </c>
      <c r="N15" s="2">
        <v>111</v>
      </c>
    </row>
    <row r="16" spans="1:14" x14ac:dyDescent="0.3">
      <c r="B16" s="2" t="s">
        <v>109</v>
      </c>
      <c r="C16" s="2">
        <v>111</v>
      </c>
      <c r="D16" s="2">
        <v>111</v>
      </c>
      <c r="E16" s="2">
        <v>111</v>
      </c>
      <c r="F16" s="2">
        <v>111</v>
      </c>
      <c r="G16" s="2">
        <v>111</v>
      </c>
      <c r="H16" s="2">
        <v>111</v>
      </c>
      <c r="I16" s="2">
        <v>111</v>
      </c>
      <c r="J16" s="2">
        <v>111</v>
      </c>
      <c r="K16" s="2">
        <v>111</v>
      </c>
      <c r="L16" s="2">
        <v>111</v>
      </c>
      <c r="M16" s="2">
        <v>111</v>
      </c>
      <c r="N16" s="2">
        <v>111</v>
      </c>
    </row>
    <row r="17" spans="2:14" x14ac:dyDescent="0.3">
      <c r="B17" s="2" t="s">
        <v>110</v>
      </c>
      <c r="C17" s="2">
        <v>111</v>
      </c>
      <c r="D17" s="2">
        <v>111</v>
      </c>
      <c r="E17" s="2">
        <v>111</v>
      </c>
      <c r="F17" s="2">
        <v>111</v>
      </c>
      <c r="G17" s="2">
        <v>111</v>
      </c>
      <c r="H17" s="2">
        <v>111</v>
      </c>
      <c r="I17" s="2">
        <v>111</v>
      </c>
      <c r="J17" s="2">
        <v>111</v>
      </c>
      <c r="K17" s="2">
        <v>111</v>
      </c>
      <c r="L17" s="2">
        <v>111</v>
      </c>
      <c r="M17" s="2">
        <v>111</v>
      </c>
      <c r="N17" s="2">
        <v>111</v>
      </c>
    </row>
    <row r="18" spans="2:14" x14ac:dyDescent="0.3">
      <c r="B18" s="2" t="s">
        <v>126</v>
      </c>
      <c r="C18" s="2">
        <v>111</v>
      </c>
      <c r="D18" s="2">
        <v>111</v>
      </c>
      <c r="E18" s="2">
        <v>111</v>
      </c>
      <c r="F18" s="2">
        <v>111</v>
      </c>
      <c r="G18" s="2">
        <v>111</v>
      </c>
      <c r="H18" s="2">
        <v>111</v>
      </c>
      <c r="I18" s="2">
        <v>111</v>
      </c>
      <c r="J18" s="2">
        <v>111</v>
      </c>
      <c r="K18" s="2">
        <v>111</v>
      </c>
      <c r="L18" s="2">
        <v>111</v>
      </c>
      <c r="M18" s="2">
        <v>111</v>
      </c>
      <c r="N18" s="2">
        <v>111</v>
      </c>
    </row>
    <row r="19" spans="2:14" x14ac:dyDescent="0.3">
      <c r="B19" s="2" t="s">
        <v>127</v>
      </c>
      <c r="C19" s="2">
        <v>111</v>
      </c>
      <c r="D19" s="2">
        <v>111</v>
      </c>
      <c r="E19" s="2">
        <v>111</v>
      </c>
      <c r="F19" s="2">
        <v>111</v>
      </c>
      <c r="G19" s="2">
        <v>111</v>
      </c>
      <c r="H19" s="2">
        <v>111</v>
      </c>
      <c r="I19" s="2">
        <v>111</v>
      </c>
      <c r="J19" s="2">
        <v>111</v>
      </c>
      <c r="K19" s="2">
        <v>111</v>
      </c>
      <c r="L19" s="2">
        <v>111</v>
      </c>
      <c r="M19" s="2">
        <v>111</v>
      </c>
      <c r="N19" s="2">
        <v>111</v>
      </c>
    </row>
    <row r="20" spans="2:14" x14ac:dyDescent="0.3">
      <c r="B20" s="2" t="s">
        <v>128</v>
      </c>
      <c r="C20" s="2">
        <v>111</v>
      </c>
      <c r="D20" s="2">
        <v>111</v>
      </c>
      <c r="E20" s="2">
        <v>111</v>
      </c>
      <c r="F20" s="2">
        <v>111</v>
      </c>
      <c r="G20" s="2">
        <v>111</v>
      </c>
      <c r="H20" s="2">
        <v>111</v>
      </c>
      <c r="I20" s="2">
        <v>111</v>
      </c>
      <c r="J20" s="2">
        <v>111</v>
      </c>
      <c r="K20" s="2">
        <v>111</v>
      </c>
      <c r="L20" s="2">
        <v>111</v>
      </c>
      <c r="M20" s="2">
        <v>111</v>
      </c>
      <c r="N20" s="2">
        <v>111</v>
      </c>
    </row>
    <row r="21" spans="2:14" x14ac:dyDescent="0.3">
      <c r="B21" s="2" t="s">
        <v>129</v>
      </c>
      <c r="C21" s="2">
        <v>111</v>
      </c>
      <c r="D21" s="2">
        <v>111</v>
      </c>
      <c r="E21" s="2">
        <v>111</v>
      </c>
      <c r="F21" s="2">
        <v>111</v>
      </c>
      <c r="G21" s="2">
        <v>111</v>
      </c>
      <c r="H21" s="2">
        <v>111</v>
      </c>
      <c r="I21" s="2">
        <v>111</v>
      </c>
      <c r="J21" s="2">
        <v>111</v>
      </c>
      <c r="K21" s="2">
        <v>111</v>
      </c>
      <c r="L21" s="2">
        <v>111</v>
      </c>
      <c r="M21" s="2">
        <v>111</v>
      </c>
      <c r="N21" s="2">
        <v>111</v>
      </c>
    </row>
    <row r="22" spans="2:14" x14ac:dyDescent="0.3">
      <c r="B22" s="2" t="s">
        <v>130</v>
      </c>
      <c r="C22" s="2">
        <v>111</v>
      </c>
      <c r="D22" s="2">
        <v>111</v>
      </c>
      <c r="E22" s="2">
        <v>111</v>
      </c>
      <c r="F22" s="2">
        <v>111</v>
      </c>
      <c r="G22" s="2">
        <v>111</v>
      </c>
      <c r="H22" s="2">
        <v>111</v>
      </c>
      <c r="I22" s="2">
        <v>111</v>
      </c>
      <c r="J22" s="2">
        <v>111</v>
      </c>
      <c r="K22" s="2">
        <v>111</v>
      </c>
      <c r="L22" s="2">
        <v>111</v>
      </c>
      <c r="M22" s="2">
        <v>111</v>
      </c>
      <c r="N22" s="2">
        <v>111</v>
      </c>
    </row>
    <row r="23" spans="2:14" x14ac:dyDescent="0.3">
      <c r="B23" s="2" t="s">
        <v>131</v>
      </c>
      <c r="C23" s="2">
        <v>111</v>
      </c>
      <c r="D23" s="2">
        <v>111</v>
      </c>
      <c r="E23" s="2">
        <v>111</v>
      </c>
      <c r="F23" s="2">
        <v>111</v>
      </c>
      <c r="G23" s="2">
        <v>111</v>
      </c>
      <c r="H23" s="2">
        <v>111</v>
      </c>
      <c r="I23" s="2">
        <v>111</v>
      </c>
      <c r="J23" s="2">
        <v>111</v>
      </c>
      <c r="K23" s="2">
        <v>111</v>
      </c>
      <c r="L23" s="2">
        <v>111</v>
      </c>
      <c r="M23" s="2">
        <v>111</v>
      </c>
      <c r="N23" s="2">
        <v>111</v>
      </c>
    </row>
    <row r="24" spans="2:14" x14ac:dyDescent="0.3">
      <c r="B24" s="2" t="s">
        <v>132</v>
      </c>
      <c r="C24" s="2">
        <v>111</v>
      </c>
      <c r="D24" s="2">
        <v>111</v>
      </c>
      <c r="E24" s="2">
        <v>111</v>
      </c>
      <c r="F24" s="2">
        <v>111</v>
      </c>
      <c r="G24" s="2">
        <v>111</v>
      </c>
      <c r="H24" s="2">
        <v>111</v>
      </c>
      <c r="I24" s="2">
        <v>111</v>
      </c>
      <c r="J24" s="2">
        <v>111</v>
      </c>
      <c r="K24" s="2">
        <v>111</v>
      </c>
      <c r="L24" s="2">
        <v>111</v>
      </c>
      <c r="M24" s="2">
        <v>111</v>
      </c>
      <c r="N24" s="2">
        <v>111</v>
      </c>
    </row>
    <row r="25" spans="2:14" x14ac:dyDescent="0.3">
      <c r="B25" s="2" t="s">
        <v>133</v>
      </c>
      <c r="C25" s="2">
        <v>111</v>
      </c>
      <c r="D25" s="2">
        <v>111</v>
      </c>
      <c r="E25" s="2">
        <v>111</v>
      </c>
      <c r="F25" s="2">
        <v>111</v>
      </c>
      <c r="G25" s="2">
        <v>111</v>
      </c>
      <c r="H25" s="2">
        <v>111</v>
      </c>
      <c r="I25" s="2">
        <v>111</v>
      </c>
      <c r="J25" s="2">
        <v>111</v>
      </c>
      <c r="K25" s="2">
        <v>111</v>
      </c>
      <c r="L25" s="2">
        <v>111</v>
      </c>
      <c r="M25" s="2">
        <v>111</v>
      </c>
      <c r="N25" s="2">
        <v>111</v>
      </c>
    </row>
    <row r="26" spans="2:14" x14ac:dyDescent="0.3">
      <c r="B26" s="2" t="s">
        <v>134</v>
      </c>
      <c r="C26" s="2">
        <v>111</v>
      </c>
      <c r="D26" s="2">
        <v>111</v>
      </c>
      <c r="E26" s="2">
        <v>111</v>
      </c>
      <c r="F26" s="2">
        <v>111</v>
      </c>
      <c r="G26" s="2">
        <v>111</v>
      </c>
      <c r="H26" s="2">
        <v>111</v>
      </c>
      <c r="I26" s="2">
        <v>111</v>
      </c>
      <c r="J26" s="2">
        <v>111</v>
      </c>
      <c r="K26" s="2">
        <v>111</v>
      </c>
      <c r="L26" s="2">
        <v>111</v>
      </c>
      <c r="M26" s="2">
        <v>111</v>
      </c>
      <c r="N26" s="2">
        <v>111</v>
      </c>
    </row>
    <row r="27" spans="2:14" x14ac:dyDescent="0.3">
      <c r="B27" s="2" t="s">
        <v>135</v>
      </c>
      <c r="C27" s="2">
        <v>111</v>
      </c>
      <c r="D27" s="2">
        <v>111</v>
      </c>
      <c r="E27" s="2">
        <v>111</v>
      </c>
      <c r="F27" s="2">
        <v>111</v>
      </c>
      <c r="G27" s="2">
        <v>111</v>
      </c>
      <c r="H27" s="2">
        <v>111</v>
      </c>
      <c r="I27" s="2">
        <v>111</v>
      </c>
      <c r="J27" s="2">
        <v>111</v>
      </c>
      <c r="K27" s="2">
        <v>111</v>
      </c>
      <c r="L27" s="2">
        <v>111</v>
      </c>
      <c r="M27" s="2">
        <v>111</v>
      </c>
      <c r="N27" s="2">
        <v>111</v>
      </c>
    </row>
    <row r="28" spans="2:14" x14ac:dyDescent="0.3">
      <c r="B28" s="2" t="s">
        <v>136</v>
      </c>
      <c r="C28" s="2">
        <v>111</v>
      </c>
      <c r="D28" s="2">
        <v>111</v>
      </c>
      <c r="E28" s="2">
        <v>111</v>
      </c>
      <c r="F28" s="2">
        <v>111</v>
      </c>
      <c r="G28" s="2">
        <v>111</v>
      </c>
      <c r="H28" s="2">
        <v>111</v>
      </c>
      <c r="I28" s="2">
        <v>111</v>
      </c>
      <c r="J28" s="2">
        <v>111</v>
      </c>
      <c r="K28" s="2">
        <v>111</v>
      </c>
      <c r="L28" s="2">
        <v>111</v>
      </c>
      <c r="M28" s="2">
        <v>111</v>
      </c>
      <c r="N28" s="2">
        <v>111</v>
      </c>
    </row>
    <row r="29" spans="2:14" x14ac:dyDescent="0.3">
      <c r="B29" s="2" t="s">
        <v>137</v>
      </c>
      <c r="C29" s="2">
        <v>111</v>
      </c>
      <c r="D29" s="2">
        <v>111</v>
      </c>
      <c r="E29" s="2">
        <v>111</v>
      </c>
      <c r="F29" s="2">
        <v>111</v>
      </c>
      <c r="G29" s="2">
        <v>111</v>
      </c>
      <c r="H29" s="2">
        <v>111</v>
      </c>
      <c r="I29" s="2">
        <v>111</v>
      </c>
      <c r="J29" s="2">
        <v>111</v>
      </c>
      <c r="K29" s="2">
        <v>111</v>
      </c>
      <c r="L29" s="2">
        <v>111</v>
      </c>
      <c r="M29" s="2">
        <v>111</v>
      </c>
      <c r="N29" s="2">
        <v>111</v>
      </c>
    </row>
    <row r="30" spans="2:14" x14ac:dyDescent="0.3">
      <c r="B30" s="2" t="s">
        <v>138</v>
      </c>
      <c r="C30" s="2">
        <v>111</v>
      </c>
      <c r="D30" s="2">
        <v>111</v>
      </c>
      <c r="E30" s="2">
        <v>111</v>
      </c>
      <c r="F30" s="2">
        <v>111</v>
      </c>
      <c r="G30" s="2">
        <v>111</v>
      </c>
      <c r="H30" s="2">
        <v>111</v>
      </c>
      <c r="I30" s="2">
        <v>111</v>
      </c>
      <c r="J30" s="2">
        <v>111</v>
      </c>
      <c r="K30" s="2">
        <v>111</v>
      </c>
      <c r="L30" s="2">
        <v>111</v>
      </c>
      <c r="M30" s="2">
        <v>111</v>
      </c>
      <c r="N30" s="2">
        <v>111</v>
      </c>
    </row>
    <row r="31" spans="2:14" x14ac:dyDescent="0.3">
      <c r="B31" s="2" t="s">
        <v>139</v>
      </c>
      <c r="C31" s="2">
        <v>111</v>
      </c>
      <c r="D31" s="2">
        <v>111</v>
      </c>
      <c r="E31" s="2">
        <v>111</v>
      </c>
      <c r="F31" s="2">
        <v>111</v>
      </c>
      <c r="G31" s="2">
        <v>111</v>
      </c>
      <c r="H31" s="2">
        <v>111</v>
      </c>
      <c r="I31" s="2">
        <v>111</v>
      </c>
      <c r="J31" s="2">
        <v>111</v>
      </c>
      <c r="K31" s="2">
        <v>111</v>
      </c>
      <c r="L31" s="2">
        <v>111</v>
      </c>
      <c r="M31" s="2">
        <v>111</v>
      </c>
      <c r="N31" s="2">
        <v>111</v>
      </c>
    </row>
    <row r="32" spans="2:14" x14ac:dyDescent="0.3">
      <c r="B32" s="2" t="s">
        <v>140</v>
      </c>
      <c r="C32" s="2">
        <v>111</v>
      </c>
      <c r="D32" s="2">
        <v>111</v>
      </c>
      <c r="E32" s="2">
        <v>111</v>
      </c>
      <c r="F32" s="2">
        <v>111</v>
      </c>
      <c r="G32" s="2">
        <v>111</v>
      </c>
      <c r="H32" s="2">
        <v>111</v>
      </c>
      <c r="I32" s="2">
        <v>111</v>
      </c>
      <c r="J32" s="2">
        <v>111</v>
      </c>
      <c r="K32" s="2">
        <v>111</v>
      </c>
      <c r="L32" s="2">
        <v>111</v>
      </c>
      <c r="M32" s="2">
        <v>111</v>
      </c>
      <c r="N32" s="2">
        <v>111</v>
      </c>
    </row>
    <row r="33" spans="2:14" x14ac:dyDescent="0.3">
      <c r="B33" s="2" t="s">
        <v>141</v>
      </c>
      <c r="C33" s="2">
        <v>111</v>
      </c>
      <c r="D33" s="2">
        <v>111</v>
      </c>
      <c r="E33" s="2">
        <v>111</v>
      </c>
      <c r="F33" s="2">
        <v>111</v>
      </c>
      <c r="G33" s="2">
        <v>111</v>
      </c>
      <c r="H33" s="2">
        <v>111</v>
      </c>
      <c r="I33" s="2">
        <v>111</v>
      </c>
      <c r="J33" s="2">
        <v>111</v>
      </c>
      <c r="K33" s="2">
        <v>111</v>
      </c>
      <c r="L33" s="2">
        <v>111</v>
      </c>
      <c r="M33" s="2">
        <v>111</v>
      </c>
      <c r="N33" s="2">
        <v>111</v>
      </c>
    </row>
    <row r="34" spans="2:14" x14ac:dyDescent="0.3">
      <c r="B34" s="2" t="s">
        <v>142</v>
      </c>
      <c r="C34" s="2">
        <v>111</v>
      </c>
      <c r="D34" s="2">
        <v>111</v>
      </c>
      <c r="E34" s="2">
        <v>111</v>
      </c>
      <c r="F34" s="2">
        <v>111</v>
      </c>
      <c r="G34" s="2">
        <v>111</v>
      </c>
      <c r="H34" s="2">
        <v>111</v>
      </c>
      <c r="I34" s="2">
        <v>111</v>
      </c>
      <c r="J34" s="2">
        <v>111</v>
      </c>
      <c r="K34" s="2">
        <v>111</v>
      </c>
      <c r="L34" s="2">
        <v>111</v>
      </c>
      <c r="M34" s="2">
        <v>111</v>
      </c>
      <c r="N34" s="2">
        <v>111</v>
      </c>
    </row>
    <row r="35" spans="2:14" x14ac:dyDescent="0.3">
      <c r="B35" s="2" t="s">
        <v>143</v>
      </c>
      <c r="C35" s="2">
        <v>111</v>
      </c>
      <c r="D35" s="2">
        <v>111</v>
      </c>
      <c r="E35" s="2">
        <v>111</v>
      </c>
      <c r="F35" s="2">
        <v>111</v>
      </c>
      <c r="G35" s="2">
        <v>111</v>
      </c>
      <c r="H35" s="2">
        <v>111</v>
      </c>
      <c r="I35" s="2">
        <v>111</v>
      </c>
      <c r="J35" s="2">
        <v>111</v>
      </c>
      <c r="K35" s="2">
        <v>111</v>
      </c>
      <c r="L35" s="2">
        <v>111</v>
      </c>
      <c r="M35" s="2">
        <v>111</v>
      </c>
      <c r="N35" s="2">
        <v>111</v>
      </c>
    </row>
    <row r="36" spans="2:14" x14ac:dyDescent="0.3">
      <c r="B36" s="2" t="s">
        <v>144</v>
      </c>
      <c r="C36" s="2">
        <v>111</v>
      </c>
      <c r="D36" s="2">
        <v>111</v>
      </c>
      <c r="E36" s="2">
        <v>111</v>
      </c>
      <c r="F36" s="2">
        <v>111</v>
      </c>
      <c r="G36" s="2">
        <v>111</v>
      </c>
      <c r="H36" s="2">
        <v>111</v>
      </c>
      <c r="I36" s="2">
        <v>111</v>
      </c>
      <c r="J36" s="2">
        <v>111</v>
      </c>
      <c r="K36" s="2">
        <v>111</v>
      </c>
      <c r="L36" s="2">
        <v>111</v>
      </c>
      <c r="M36" s="2">
        <v>111</v>
      </c>
      <c r="N36" s="2">
        <v>111</v>
      </c>
    </row>
    <row r="37" spans="2:14" x14ac:dyDescent="0.3">
      <c r="B37" s="2" t="s">
        <v>145</v>
      </c>
      <c r="C37" s="2">
        <v>111</v>
      </c>
      <c r="D37" s="2">
        <v>111</v>
      </c>
      <c r="E37" s="2">
        <v>111</v>
      </c>
      <c r="F37" s="2">
        <v>111</v>
      </c>
      <c r="G37" s="2">
        <v>111</v>
      </c>
      <c r="H37" s="2">
        <v>111</v>
      </c>
      <c r="I37" s="2">
        <v>111</v>
      </c>
      <c r="J37" s="2">
        <v>111</v>
      </c>
      <c r="K37" s="2">
        <v>111</v>
      </c>
      <c r="L37" s="2">
        <v>111</v>
      </c>
      <c r="M37" s="2">
        <v>111</v>
      </c>
      <c r="N37" s="2">
        <v>111</v>
      </c>
    </row>
    <row r="38" spans="2:14" x14ac:dyDescent="0.3">
      <c r="B38" s="2" t="s">
        <v>146</v>
      </c>
      <c r="C38" s="2">
        <v>111</v>
      </c>
      <c r="D38" s="2">
        <v>111</v>
      </c>
      <c r="E38" s="2">
        <v>111</v>
      </c>
      <c r="F38" s="2">
        <v>111</v>
      </c>
      <c r="G38" s="2">
        <v>111</v>
      </c>
      <c r="H38" s="2">
        <v>111</v>
      </c>
      <c r="I38" s="2">
        <v>111</v>
      </c>
      <c r="J38" s="2">
        <v>111</v>
      </c>
      <c r="K38" s="2">
        <v>111</v>
      </c>
      <c r="L38" s="2">
        <v>111</v>
      </c>
      <c r="M38" s="2">
        <v>111</v>
      </c>
      <c r="N38" s="2">
        <v>111</v>
      </c>
    </row>
    <row r="39" spans="2:14" x14ac:dyDescent="0.3">
      <c r="B39" s="2" t="s">
        <v>147</v>
      </c>
      <c r="C39" s="2">
        <v>111</v>
      </c>
      <c r="D39" s="2">
        <v>111</v>
      </c>
      <c r="E39" s="2">
        <v>111</v>
      </c>
      <c r="F39" s="2">
        <v>111</v>
      </c>
      <c r="G39" s="2">
        <v>111</v>
      </c>
      <c r="H39" s="2">
        <v>111</v>
      </c>
      <c r="I39" s="2">
        <v>111</v>
      </c>
      <c r="J39" s="2">
        <v>111</v>
      </c>
      <c r="K39" s="2">
        <v>111</v>
      </c>
      <c r="L39" s="2">
        <v>111</v>
      </c>
      <c r="M39" s="2">
        <v>111</v>
      </c>
      <c r="N39" s="2">
        <v>111</v>
      </c>
    </row>
    <row r="40" spans="2:14" x14ac:dyDescent="0.3">
      <c r="B40" s="2" t="s">
        <v>148</v>
      </c>
      <c r="C40" s="2">
        <v>111</v>
      </c>
      <c r="D40" s="2">
        <v>111</v>
      </c>
      <c r="E40" s="2">
        <v>111</v>
      </c>
      <c r="F40" s="2">
        <v>111</v>
      </c>
      <c r="G40" s="2">
        <v>111</v>
      </c>
      <c r="H40" s="2">
        <v>111</v>
      </c>
      <c r="I40" s="2">
        <v>111</v>
      </c>
      <c r="J40" s="2">
        <v>111</v>
      </c>
      <c r="K40" s="2">
        <v>111</v>
      </c>
      <c r="L40" s="2">
        <v>111</v>
      </c>
      <c r="M40" s="2">
        <v>111</v>
      </c>
      <c r="N40" s="2">
        <v>111</v>
      </c>
    </row>
    <row r="41" spans="2:14" x14ac:dyDescent="0.3">
      <c r="B41" s="2" t="s">
        <v>149</v>
      </c>
      <c r="C41" s="2">
        <v>111</v>
      </c>
      <c r="D41" s="2">
        <v>111</v>
      </c>
      <c r="E41" s="2">
        <v>111</v>
      </c>
      <c r="F41" s="2">
        <v>111</v>
      </c>
      <c r="G41" s="2">
        <v>111</v>
      </c>
      <c r="H41" s="2">
        <v>111</v>
      </c>
      <c r="I41" s="2">
        <v>111</v>
      </c>
      <c r="J41" s="2">
        <v>111</v>
      </c>
      <c r="K41" s="2">
        <v>111</v>
      </c>
      <c r="L41" s="2">
        <v>111</v>
      </c>
      <c r="M41" s="2">
        <v>111</v>
      </c>
      <c r="N41" s="2">
        <v>111</v>
      </c>
    </row>
    <row r="42" spans="2:14" x14ac:dyDescent="0.3">
      <c r="B42" s="2" t="s">
        <v>150</v>
      </c>
      <c r="C42" s="2">
        <v>111</v>
      </c>
      <c r="D42" s="2">
        <v>111</v>
      </c>
      <c r="E42" s="2">
        <v>111</v>
      </c>
      <c r="F42" s="2">
        <v>111</v>
      </c>
      <c r="G42" s="2">
        <v>111</v>
      </c>
      <c r="H42" s="2">
        <v>111</v>
      </c>
      <c r="I42" s="2">
        <v>111</v>
      </c>
      <c r="J42" s="2">
        <v>111</v>
      </c>
      <c r="K42" s="2">
        <v>111</v>
      </c>
      <c r="L42" s="2">
        <v>111</v>
      </c>
      <c r="M42" s="2">
        <v>111</v>
      </c>
      <c r="N42" s="2">
        <v>111</v>
      </c>
    </row>
    <row r="43" spans="2:14" x14ac:dyDescent="0.3">
      <c r="B43" s="2" t="s">
        <v>151</v>
      </c>
      <c r="C43" s="2">
        <v>111</v>
      </c>
      <c r="D43" s="2">
        <v>111</v>
      </c>
      <c r="E43" s="2">
        <v>111</v>
      </c>
      <c r="F43" s="2">
        <v>111</v>
      </c>
      <c r="G43" s="2">
        <v>111</v>
      </c>
      <c r="H43" s="2">
        <v>111</v>
      </c>
      <c r="I43" s="2">
        <v>111</v>
      </c>
      <c r="J43" s="2">
        <v>111</v>
      </c>
      <c r="K43" s="2">
        <v>111</v>
      </c>
      <c r="L43" s="2">
        <v>111</v>
      </c>
      <c r="M43" s="2">
        <v>111</v>
      </c>
      <c r="N43" s="2">
        <v>111</v>
      </c>
    </row>
    <row r="44" spans="2:14" x14ac:dyDescent="0.3">
      <c r="B44" s="2" t="s">
        <v>152</v>
      </c>
      <c r="C44" s="2">
        <v>111</v>
      </c>
      <c r="D44" s="2">
        <v>111</v>
      </c>
      <c r="E44" s="2">
        <v>111</v>
      </c>
      <c r="F44" s="2">
        <v>111</v>
      </c>
      <c r="G44" s="2">
        <v>111</v>
      </c>
      <c r="H44" s="2">
        <v>111</v>
      </c>
      <c r="I44" s="2">
        <v>111</v>
      </c>
      <c r="J44" s="2">
        <v>111</v>
      </c>
      <c r="K44" s="2">
        <v>111</v>
      </c>
      <c r="L44" s="2">
        <v>111</v>
      </c>
      <c r="M44" s="2">
        <v>111</v>
      </c>
      <c r="N44" s="2">
        <v>111</v>
      </c>
    </row>
    <row r="45" spans="2:14" x14ac:dyDescent="0.3">
      <c r="B45" s="2" t="s">
        <v>153</v>
      </c>
      <c r="C45" s="2">
        <v>111</v>
      </c>
      <c r="D45" s="2">
        <v>111</v>
      </c>
      <c r="E45" s="2">
        <v>111</v>
      </c>
      <c r="F45" s="2">
        <v>111</v>
      </c>
      <c r="G45" s="2">
        <v>111</v>
      </c>
      <c r="H45" s="2">
        <v>111</v>
      </c>
      <c r="I45" s="2">
        <v>111</v>
      </c>
      <c r="J45" s="2">
        <v>111</v>
      </c>
      <c r="K45" s="2">
        <v>111</v>
      </c>
      <c r="L45" s="2">
        <v>111</v>
      </c>
      <c r="M45" s="2">
        <v>111</v>
      </c>
      <c r="N45" s="2">
        <v>111</v>
      </c>
    </row>
    <row r="46" spans="2:14" x14ac:dyDescent="0.3">
      <c r="B46" s="2" t="s">
        <v>154</v>
      </c>
      <c r="C46" s="2">
        <v>111</v>
      </c>
      <c r="D46" s="2">
        <v>111</v>
      </c>
      <c r="E46" s="2">
        <v>111</v>
      </c>
      <c r="F46" s="2">
        <v>111</v>
      </c>
      <c r="G46" s="2">
        <v>111</v>
      </c>
      <c r="H46" s="2">
        <v>111</v>
      </c>
      <c r="I46" s="2">
        <v>111</v>
      </c>
      <c r="J46" s="2">
        <v>111</v>
      </c>
      <c r="K46" s="2">
        <v>111</v>
      </c>
      <c r="L46" s="2">
        <v>111</v>
      </c>
      <c r="M46" s="2">
        <v>111</v>
      </c>
      <c r="N46" s="2">
        <v>111</v>
      </c>
    </row>
    <row r="47" spans="2:14" x14ac:dyDescent="0.3">
      <c r="B47" s="2" t="s">
        <v>155</v>
      </c>
      <c r="C47" s="2">
        <v>111</v>
      </c>
      <c r="D47" s="2">
        <v>111</v>
      </c>
      <c r="E47" s="2">
        <v>111</v>
      </c>
      <c r="F47" s="2">
        <v>111</v>
      </c>
      <c r="G47" s="2">
        <v>111</v>
      </c>
      <c r="H47" s="2">
        <v>111</v>
      </c>
      <c r="I47" s="2">
        <v>111</v>
      </c>
      <c r="J47" s="2">
        <v>111</v>
      </c>
      <c r="K47" s="2">
        <v>111</v>
      </c>
      <c r="L47" s="2">
        <v>111</v>
      </c>
      <c r="M47" s="2">
        <v>111</v>
      </c>
      <c r="N47" s="2">
        <v>111</v>
      </c>
    </row>
    <row r="48" spans="2:14" x14ac:dyDescent="0.3">
      <c r="B48" s="2" t="s">
        <v>156</v>
      </c>
      <c r="C48" s="2">
        <v>111</v>
      </c>
      <c r="D48" s="2">
        <v>111</v>
      </c>
      <c r="E48" s="2">
        <v>111</v>
      </c>
      <c r="F48" s="2">
        <v>111</v>
      </c>
      <c r="G48" s="2">
        <v>111</v>
      </c>
      <c r="H48" s="2">
        <v>111</v>
      </c>
      <c r="I48" s="2">
        <v>111</v>
      </c>
      <c r="J48" s="2">
        <v>111</v>
      </c>
      <c r="K48" s="2">
        <v>111</v>
      </c>
      <c r="L48" s="2">
        <v>111</v>
      </c>
      <c r="M48" s="2">
        <v>111</v>
      </c>
      <c r="N48" s="2">
        <v>111</v>
      </c>
    </row>
    <row r="49" spans="2:14" x14ac:dyDescent="0.3">
      <c r="B49" s="2" t="s">
        <v>157</v>
      </c>
      <c r="C49" s="2">
        <v>111</v>
      </c>
      <c r="D49" s="2">
        <v>111</v>
      </c>
      <c r="E49" s="2">
        <v>111</v>
      </c>
      <c r="F49" s="2">
        <v>111</v>
      </c>
      <c r="G49" s="2">
        <v>111</v>
      </c>
      <c r="H49" s="2">
        <v>111</v>
      </c>
      <c r="I49" s="2">
        <v>111</v>
      </c>
      <c r="J49" s="2">
        <v>111</v>
      </c>
      <c r="K49" s="2">
        <v>111</v>
      </c>
      <c r="L49" s="2">
        <v>111</v>
      </c>
      <c r="M49" s="2">
        <v>111</v>
      </c>
      <c r="N49" s="2">
        <v>111</v>
      </c>
    </row>
    <row r="50" spans="2:14" x14ac:dyDescent="0.3">
      <c r="B50" s="2" t="s">
        <v>158</v>
      </c>
      <c r="C50" s="2">
        <v>111</v>
      </c>
      <c r="D50" s="2">
        <v>111</v>
      </c>
      <c r="E50" s="2">
        <v>111</v>
      </c>
      <c r="F50" s="2">
        <v>111</v>
      </c>
      <c r="G50" s="2">
        <v>111</v>
      </c>
      <c r="H50" s="2">
        <v>111</v>
      </c>
      <c r="I50" s="2">
        <v>111</v>
      </c>
      <c r="J50" s="2">
        <v>111</v>
      </c>
      <c r="K50" s="2">
        <v>111</v>
      </c>
      <c r="L50" s="2">
        <v>111</v>
      </c>
      <c r="M50" s="2">
        <v>111</v>
      </c>
      <c r="N50" s="2">
        <v>111</v>
      </c>
    </row>
    <row r="51" spans="2:14" x14ac:dyDescent="0.3">
      <c r="B51" s="2" t="s">
        <v>159</v>
      </c>
      <c r="C51" s="2">
        <v>111</v>
      </c>
      <c r="D51" s="2">
        <v>111</v>
      </c>
      <c r="E51" s="2">
        <v>111</v>
      </c>
      <c r="F51" s="2">
        <v>111</v>
      </c>
      <c r="G51" s="2">
        <v>111</v>
      </c>
      <c r="H51" s="2">
        <v>111</v>
      </c>
      <c r="I51" s="2">
        <v>111</v>
      </c>
      <c r="J51" s="2">
        <v>111</v>
      </c>
      <c r="K51" s="2">
        <v>111</v>
      </c>
      <c r="L51" s="2">
        <v>111</v>
      </c>
      <c r="M51" s="2">
        <v>111</v>
      </c>
      <c r="N51" s="2">
        <v>111</v>
      </c>
    </row>
    <row r="52" spans="2:14" x14ac:dyDescent="0.3">
      <c r="B52" s="2" t="s">
        <v>160</v>
      </c>
      <c r="C52" s="2">
        <v>111</v>
      </c>
      <c r="D52" s="2">
        <v>111</v>
      </c>
      <c r="E52" s="2">
        <v>111</v>
      </c>
      <c r="F52" s="2">
        <v>111</v>
      </c>
      <c r="G52" s="2">
        <v>111</v>
      </c>
      <c r="H52" s="2">
        <v>111</v>
      </c>
      <c r="I52" s="2">
        <v>111</v>
      </c>
      <c r="J52" s="2">
        <v>111</v>
      </c>
      <c r="K52" s="2">
        <v>111</v>
      </c>
      <c r="L52" s="2">
        <v>111</v>
      </c>
      <c r="M52" s="2">
        <v>111</v>
      </c>
      <c r="N52" s="2">
        <v>111</v>
      </c>
    </row>
    <row r="53" spans="2:14" x14ac:dyDescent="0.3">
      <c r="B53" s="2" t="s">
        <v>161</v>
      </c>
      <c r="C53" s="2">
        <v>111</v>
      </c>
      <c r="D53" s="2">
        <v>111</v>
      </c>
      <c r="E53" s="2">
        <v>111</v>
      </c>
      <c r="F53" s="2">
        <v>111</v>
      </c>
      <c r="G53" s="2">
        <v>111</v>
      </c>
      <c r="H53" s="2">
        <v>111</v>
      </c>
      <c r="I53" s="2">
        <v>111</v>
      </c>
      <c r="J53" s="2">
        <v>111</v>
      </c>
      <c r="K53" s="2">
        <v>111</v>
      </c>
      <c r="L53" s="2">
        <v>111</v>
      </c>
      <c r="M53" s="2">
        <v>111</v>
      </c>
      <c r="N53" s="2">
        <v>111</v>
      </c>
    </row>
    <row r="54" spans="2:14" x14ac:dyDescent="0.3">
      <c r="B54" s="2" t="s">
        <v>162</v>
      </c>
      <c r="C54" s="2">
        <v>111</v>
      </c>
      <c r="D54" s="2">
        <v>111</v>
      </c>
      <c r="E54" s="2">
        <v>111</v>
      </c>
      <c r="F54" s="2">
        <v>111</v>
      </c>
      <c r="G54" s="2">
        <v>111</v>
      </c>
      <c r="H54" s="2">
        <v>111</v>
      </c>
      <c r="I54" s="2">
        <v>111</v>
      </c>
      <c r="J54" s="2">
        <v>111</v>
      </c>
      <c r="K54" s="2">
        <v>111</v>
      </c>
      <c r="L54" s="2">
        <v>111</v>
      </c>
      <c r="M54" s="2">
        <v>111</v>
      </c>
      <c r="N54" s="2">
        <v>111</v>
      </c>
    </row>
    <row r="55" spans="2:14" x14ac:dyDescent="0.3">
      <c r="B55" s="2" t="s">
        <v>163</v>
      </c>
      <c r="C55" s="2">
        <v>111</v>
      </c>
      <c r="D55" s="2">
        <v>111</v>
      </c>
      <c r="E55" s="2">
        <v>111</v>
      </c>
      <c r="F55" s="2">
        <v>111</v>
      </c>
      <c r="G55" s="2">
        <v>111</v>
      </c>
      <c r="H55" s="2">
        <v>111</v>
      </c>
      <c r="I55" s="2">
        <v>111</v>
      </c>
      <c r="J55" s="2">
        <v>111</v>
      </c>
      <c r="K55" s="2">
        <v>111</v>
      </c>
      <c r="L55" s="2">
        <v>111</v>
      </c>
      <c r="M55" s="2">
        <v>111</v>
      </c>
      <c r="N55" s="2">
        <v>111</v>
      </c>
    </row>
    <row r="56" spans="2:14" x14ac:dyDescent="0.3">
      <c r="B56" s="2" t="s">
        <v>164</v>
      </c>
      <c r="C56" s="2">
        <v>111</v>
      </c>
      <c r="D56" s="2">
        <v>111</v>
      </c>
      <c r="E56" s="2">
        <v>111</v>
      </c>
      <c r="F56" s="2">
        <v>111</v>
      </c>
      <c r="G56" s="2">
        <v>111</v>
      </c>
      <c r="H56" s="2">
        <v>111</v>
      </c>
      <c r="I56" s="2">
        <v>111</v>
      </c>
      <c r="J56" s="2">
        <v>111</v>
      </c>
      <c r="K56" s="2">
        <v>111</v>
      </c>
      <c r="L56" s="2">
        <v>111</v>
      </c>
      <c r="M56" s="2">
        <v>111</v>
      </c>
      <c r="N56" s="2">
        <v>111</v>
      </c>
    </row>
    <row r="57" spans="2:14" x14ac:dyDescent="0.3">
      <c r="B57" s="2" t="s">
        <v>165</v>
      </c>
      <c r="C57" s="2">
        <v>111</v>
      </c>
      <c r="D57" s="2">
        <v>111</v>
      </c>
      <c r="E57" s="2">
        <v>111</v>
      </c>
      <c r="F57" s="2">
        <v>111</v>
      </c>
      <c r="G57" s="2">
        <v>111</v>
      </c>
      <c r="H57" s="2">
        <v>111</v>
      </c>
      <c r="I57" s="2">
        <v>111</v>
      </c>
      <c r="J57" s="2">
        <v>111</v>
      </c>
      <c r="K57" s="2">
        <v>111</v>
      </c>
      <c r="L57" s="2">
        <v>111</v>
      </c>
      <c r="M57" s="2">
        <v>111</v>
      </c>
      <c r="N57" s="2">
        <v>111</v>
      </c>
    </row>
    <row r="58" spans="2:14" x14ac:dyDescent="0.3">
      <c r="B58" s="2" t="s">
        <v>166</v>
      </c>
      <c r="C58" s="2">
        <v>111</v>
      </c>
      <c r="D58" s="2">
        <v>111</v>
      </c>
      <c r="E58" s="2">
        <v>111</v>
      </c>
      <c r="F58" s="2">
        <v>111</v>
      </c>
      <c r="G58" s="2">
        <v>111</v>
      </c>
      <c r="H58" s="2">
        <v>111</v>
      </c>
      <c r="I58" s="2">
        <v>111</v>
      </c>
      <c r="J58" s="2">
        <v>111</v>
      </c>
      <c r="K58" s="2">
        <v>111</v>
      </c>
      <c r="L58" s="2">
        <v>111</v>
      </c>
      <c r="M58" s="2">
        <v>111</v>
      </c>
      <c r="N58" s="2">
        <v>111</v>
      </c>
    </row>
    <row r="59" spans="2:14" x14ac:dyDescent="0.3">
      <c r="B59" s="2" t="s">
        <v>167</v>
      </c>
      <c r="C59" s="2">
        <v>111</v>
      </c>
      <c r="D59" s="2">
        <v>111</v>
      </c>
      <c r="E59" s="2">
        <v>111</v>
      </c>
      <c r="F59" s="2">
        <v>111</v>
      </c>
      <c r="G59" s="2">
        <v>111</v>
      </c>
      <c r="H59" s="2">
        <v>111</v>
      </c>
      <c r="I59" s="2">
        <v>111</v>
      </c>
      <c r="J59" s="2">
        <v>111</v>
      </c>
      <c r="K59" s="2">
        <v>111</v>
      </c>
      <c r="L59" s="2">
        <v>111</v>
      </c>
      <c r="M59" s="2">
        <v>111</v>
      </c>
      <c r="N59" s="2">
        <v>111</v>
      </c>
    </row>
    <row r="60" spans="2:14" x14ac:dyDescent="0.3">
      <c r="B60" s="2" t="s">
        <v>168</v>
      </c>
      <c r="C60" s="2">
        <v>111</v>
      </c>
      <c r="D60" s="2">
        <v>111</v>
      </c>
      <c r="E60" s="2">
        <v>111</v>
      </c>
      <c r="F60" s="2">
        <v>111</v>
      </c>
      <c r="G60" s="2">
        <v>111</v>
      </c>
      <c r="H60" s="2">
        <v>111</v>
      </c>
      <c r="I60" s="2">
        <v>111</v>
      </c>
      <c r="J60" s="2">
        <v>111</v>
      </c>
      <c r="K60" s="2">
        <v>111</v>
      </c>
      <c r="L60" s="2">
        <v>111</v>
      </c>
      <c r="M60" s="2">
        <v>111</v>
      </c>
      <c r="N60" s="2">
        <v>111</v>
      </c>
    </row>
    <row r="61" spans="2:14" x14ac:dyDescent="0.3">
      <c r="B61" s="2" t="s">
        <v>169</v>
      </c>
      <c r="C61" s="2">
        <v>111</v>
      </c>
      <c r="D61" s="2">
        <v>111</v>
      </c>
      <c r="E61" s="2">
        <v>111</v>
      </c>
      <c r="F61" s="2">
        <v>111</v>
      </c>
      <c r="G61" s="2">
        <v>111</v>
      </c>
      <c r="H61" s="2">
        <v>111</v>
      </c>
      <c r="I61" s="2">
        <v>111</v>
      </c>
      <c r="J61" s="2">
        <v>111</v>
      </c>
      <c r="K61" s="2">
        <v>111</v>
      </c>
      <c r="L61" s="2">
        <v>111</v>
      </c>
      <c r="M61" s="2">
        <v>111</v>
      </c>
      <c r="N61" s="2">
        <v>111</v>
      </c>
    </row>
    <row r="62" spans="2:14" x14ac:dyDescent="0.3">
      <c r="B62" s="2" t="s">
        <v>170</v>
      </c>
      <c r="C62" s="2">
        <v>111</v>
      </c>
      <c r="D62" s="2">
        <v>111</v>
      </c>
      <c r="E62" s="2">
        <v>111</v>
      </c>
      <c r="F62" s="2">
        <v>111</v>
      </c>
      <c r="G62" s="2">
        <v>111</v>
      </c>
      <c r="H62" s="2">
        <v>111</v>
      </c>
      <c r="I62" s="2">
        <v>111</v>
      </c>
      <c r="J62" s="2">
        <v>111</v>
      </c>
      <c r="K62" s="2">
        <v>111</v>
      </c>
      <c r="L62" s="2">
        <v>111</v>
      </c>
      <c r="M62" s="2">
        <v>111</v>
      </c>
      <c r="N62" s="2">
        <v>111</v>
      </c>
    </row>
    <row r="63" spans="2:14" x14ac:dyDescent="0.3">
      <c r="B63" s="2" t="s">
        <v>171</v>
      </c>
      <c r="C63" s="2">
        <v>111</v>
      </c>
      <c r="D63" s="2">
        <v>111</v>
      </c>
      <c r="E63" s="2">
        <v>111</v>
      </c>
      <c r="F63" s="2">
        <v>111</v>
      </c>
      <c r="G63" s="2">
        <v>111</v>
      </c>
      <c r="H63" s="2">
        <v>111</v>
      </c>
      <c r="I63" s="2">
        <v>111</v>
      </c>
      <c r="J63" s="2">
        <v>111</v>
      </c>
      <c r="K63" s="2">
        <v>111</v>
      </c>
      <c r="L63" s="2">
        <v>111</v>
      </c>
      <c r="M63" s="2">
        <v>111</v>
      </c>
      <c r="N63" s="2">
        <v>111</v>
      </c>
    </row>
    <row r="64" spans="2:14" x14ac:dyDescent="0.3">
      <c r="B64" s="2" t="s">
        <v>172</v>
      </c>
      <c r="C64" s="2">
        <v>111</v>
      </c>
      <c r="D64" s="2">
        <v>111</v>
      </c>
      <c r="E64" s="2">
        <v>111</v>
      </c>
      <c r="F64" s="2">
        <v>111</v>
      </c>
      <c r="G64" s="2">
        <v>111</v>
      </c>
      <c r="H64" s="2">
        <v>111</v>
      </c>
      <c r="I64" s="2">
        <v>111</v>
      </c>
      <c r="J64" s="2">
        <v>111</v>
      </c>
      <c r="K64" s="2">
        <v>111</v>
      </c>
      <c r="L64" s="2">
        <v>111</v>
      </c>
      <c r="M64" s="2">
        <v>111</v>
      </c>
      <c r="N64" s="2">
        <v>111</v>
      </c>
    </row>
    <row r="65" spans="2:14" x14ac:dyDescent="0.3">
      <c r="B65" s="2" t="s">
        <v>173</v>
      </c>
      <c r="C65" s="2">
        <v>111</v>
      </c>
      <c r="D65" s="2">
        <v>111</v>
      </c>
      <c r="E65" s="2">
        <v>111</v>
      </c>
      <c r="F65" s="2">
        <v>111</v>
      </c>
      <c r="G65" s="2">
        <v>111</v>
      </c>
      <c r="H65" s="2">
        <v>111</v>
      </c>
      <c r="I65" s="2">
        <v>111</v>
      </c>
      <c r="J65" s="2">
        <v>111</v>
      </c>
      <c r="K65" s="2">
        <v>111</v>
      </c>
      <c r="L65" s="2">
        <v>111</v>
      </c>
      <c r="M65" s="2">
        <v>111</v>
      </c>
      <c r="N65" s="2">
        <v>111</v>
      </c>
    </row>
    <row r="66" spans="2:14" x14ac:dyDescent="0.3">
      <c r="B66" s="2" t="s">
        <v>174</v>
      </c>
      <c r="C66" s="2">
        <v>111</v>
      </c>
      <c r="D66" s="2">
        <v>111</v>
      </c>
      <c r="E66" s="2">
        <v>111</v>
      </c>
      <c r="F66" s="2">
        <v>111</v>
      </c>
      <c r="G66" s="2">
        <v>111</v>
      </c>
      <c r="H66" s="2">
        <v>111</v>
      </c>
      <c r="I66" s="2">
        <v>111</v>
      </c>
      <c r="J66" s="2">
        <v>111</v>
      </c>
      <c r="K66" s="2">
        <v>111</v>
      </c>
      <c r="L66" s="2">
        <v>111</v>
      </c>
      <c r="M66" s="2">
        <v>111</v>
      </c>
      <c r="N66" s="2">
        <v>111</v>
      </c>
    </row>
    <row r="67" spans="2:14" x14ac:dyDescent="0.3">
      <c r="B67" s="2" t="s">
        <v>175</v>
      </c>
      <c r="C67" s="2">
        <v>111</v>
      </c>
      <c r="D67" s="2">
        <v>111</v>
      </c>
      <c r="E67" s="2">
        <v>111</v>
      </c>
      <c r="F67" s="2">
        <v>111</v>
      </c>
      <c r="G67" s="2">
        <v>111</v>
      </c>
      <c r="H67" s="2">
        <v>111</v>
      </c>
      <c r="I67" s="2">
        <v>111</v>
      </c>
      <c r="J67" s="2">
        <v>111</v>
      </c>
      <c r="K67" s="2">
        <v>111</v>
      </c>
      <c r="L67" s="2">
        <v>111</v>
      </c>
      <c r="M67" s="2">
        <v>111</v>
      </c>
      <c r="N67" s="2">
        <v>111</v>
      </c>
    </row>
    <row r="68" spans="2:14" x14ac:dyDescent="0.3">
      <c r="B68" s="2" t="s">
        <v>176</v>
      </c>
      <c r="C68" s="2">
        <v>111</v>
      </c>
      <c r="D68" s="2">
        <v>111</v>
      </c>
      <c r="E68" s="2">
        <v>111</v>
      </c>
      <c r="F68" s="2">
        <v>111</v>
      </c>
      <c r="G68" s="2">
        <v>111</v>
      </c>
      <c r="H68" s="2">
        <v>111</v>
      </c>
      <c r="I68" s="2">
        <v>111</v>
      </c>
      <c r="J68" s="2">
        <v>111</v>
      </c>
      <c r="K68" s="2">
        <v>111</v>
      </c>
      <c r="L68" s="2">
        <v>111</v>
      </c>
      <c r="M68" s="2">
        <v>111</v>
      </c>
      <c r="N68" s="2">
        <v>111</v>
      </c>
    </row>
    <row r="69" spans="2:14" x14ac:dyDescent="0.3">
      <c r="B69" s="2" t="s">
        <v>177</v>
      </c>
      <c r="C69" s="2">
        <v>111</v>
      </c>
      <c r="D69" s="2">
        <v>111</v>
      </c>
      <c r="E69" s="2">
        <v>111</v>
      </c>
      <c r="F69" s="2">
        <v>111</v>
      </c>
      <c r="G69" s="2">
        <v>111</v>
      </c>
      <c r="H69" s="2">
        <v>111</v>
      </c>
      <c r="I69" s="2">
        <v>111</v>
      </c>
      <c r="J69" s="2">
        <v>111</v>
      </c>
      <c r="K69" s="2">
        <v>111</v>
      </c>
      <c r="L69" s="2">
        <v>111</v>
      </c>
      <c r="M69" s="2">
        <v>111</v>
      </c>
      <c r="N69" s="2">
        <v>111</v>
      </c>
    </row>
    <row r="70" spans="2:14" x14ac:dyDescent="0.3">
      <c r="B70" s="2" t="s">
        <v>178</v>
      </c>
      <c r="C70" s="2">
        <v>111</v>
      </c>
      <c r="D70" s="2">
        <v>111</v>
      </c>
      <c r="E70" s="2">
        <v>111</v>
      </c>
      <c r="F70" s="2">
        <v>111</v>
      </c>
      <c r="G70" s="2">
        <v>111</v>
      </c>
      <c r="H70" s="2">
        <v>111</v>
      </c>
      <c r="I70" s="2">
        <v>111</v>
      </c>
      <c r="J70" s="2">
        <v>111</v>
      </c>
      <c r="K70" s="2">
        <v>111</v>
      </c>
      <c r="L70" s="2">
        <v>111</v>
      </c>
      <c r="M70" s="2">
        <v>111</v>
      </c>
      <c r="N70" s="2">
        <v>111</v>
      </c>
    </row>
    <row r="71" spans="2:14" x14ac:dyDescent="0.3">
      <c r="B71" s="2" t="s">
        <v>179</v>
      </c>
      <c r="C71" s="2">
        <v>111</v>
      </c>
      <c r="D71" s="2">
        <v>111</v>
      </c>
      <c r="E71" s="2">
        <v>111</v>
      </c>
      <c r="F71" s="2">
        <v>111</v>
      </c>
      <c r="G71" s="2">
        <v>111</v>
      </c>
      <c r="H71" s="2">
        <v>111</v>
      </c>
      <c r="I71" s="2">
        <v>111</v>
      </c>
      <c r="J71" s="2">
        <v>111</v>
      </c>
      <c r="K71" s="2">
        <v>111</v>
      </c>
      <c r="L71" s="2">
        <v>111</v>
      </c>
      <c r="M71" s="2">
        <v>111</v>
      </c>
      <c r="N71" s="2">
        <v>111</v>
      </c>
    </row>
    <row r="72" spans="2:14" x14ac:dyDescent="0.3">
      <c r="B72" s="2" t="s">
        <v>180</v>
      </c>
      <c r="C72" s="2">
        <v>111</v>
      </c>
      <c r="D72" s="2">
        <v>111</v>
      </c>
      <c r="E72" s="2">
        <v>111</v>
      </c>
      <c r="F72" s="2">
        <v>111</v>
      </c>
      <c r="G72" s="2">
        <v>111</v>
      </c>
      <c r="H72" s="2">
        <v>111</v>
      </c>
      <c r="I72" s="2">
        <v>111</v>
      </c>
      <c r="J72" s="2">
        <v>111</v>
      </c>
      <c r="K72" s="2">
        <v>111</v>
      </c>
      <c r="L72" s="2">
        <v>111</v>
      </c>
      <c r="M72" s="2">
        <v>111</v>
      </c>
      <c r="N72" s="2">
        <v>111</v>
      </c>
    </row>
    <row r="73" spans="2:14" x14ac:dyDescent="0.3">
      <c r="B73" s="2" t="s">
        <v>181</v>
      </c>
      <c r="C73" s="2">
        <v>111</v>
      </c>
      <c r="D73" s="2">
        <v>111</v>
      </c>
      <c r="E73" s="2">
        <v>111</v>
      </c>
      <c r="F73" s="2">
        <v>111</v>
      </c>
      <c r="G73" s="2">
        <v>111</v>
      </c>
      <c r="H73" s="2">
        <v>111</v>
      </c>
      <c r="I73" s="2">
        <v>111</v>
      </c>
      <c r="J73" s="2">
        <v>111</v>
      </c>
      <c r="K73" s="2">
        <v>111</v>
      </c>
      <c r="L73" s="2">
        <v>111</v>
      </c>
      <c r="M73" s="2">
        <v>111</v>
      </c>
      <c r="N73" s="2">
        <v>111</v>
      </c>
    </row>
    <row r="74" spans="2:14" x14ac:dyDescent="0.3">
      <c r="B74" s="2" t="s">
        <v>182</v>
      </c>
      <c r="C74" s="2">
        <v>111</v>
      </c>
      <c r="D74" s="2">
        <v>111</v>
      </c>
      <c r="E74" s="2">
        <v>111</v>
      </c>
      <c r="F74" s="2">
        <v>111</v>
      </c>
      <c r="G74" s="2">
        <v>111</v>
      </c>
      <c r="H74" s="2">
        <v>111</v>
      </c>
      <c r="I74" s="2">
        <v>111</v>
      </c>
      <c r="J74" s="2">
        <v>111</v>
      </c>
      <c r="K74" s="2">
        <v>111</v>
      </c>
      <c r="L74" s="2">
        <v>111</v>
      </c>
      <c r="M74" s="2">
        <v>111</v>
      </c>
      <c r="N74" s="2">
        <v>111</v>
      </c>
    </row>
    <row r="75" spans="2:14" x14ac:dyDescent="0.3">
      <c r="B75" s="2" t="s">
        <v>111</v>
      </c>
      <c r="C75" s="2">
        <v>111</v>
      </c>
      <c r="D75" s="2">
        <v>111</v>
      </c>
      <c r="E75" s="2">
        <v>111</v>
      </c>
      <c r="F75" s="2">
        <v>111</v>
      </c>
      <c r="G75" s="2">
        <v>111</v>
      </c>
      <c r="H75" s="2">
        <v>111</v>
      </c>
      <c r="I75" s="2">
        <v>111</v>
      </c>
      <c r="J75" s="2">
        <v>111</v>
      </c>
      <c r="K75" s="2">
        <v>111</v>
      </c>
      <c r="L75" s="2">
        <v>111</v>
      </c>
      <c r="M75" s="2">
        <v>111</v>
      </c>
      <c r="N75" s="2">
        <v>111</v>
      </c>
    </row>
    <row r="76" spans="2:14" x14ac:dyDescent="0.3">
      <c r="B76" s="2" t="s">
        <v>112</v>
      </c>
      <c r="C76" s="2">
        <v>111</v>
      </c>
      <c r="D76" s="2">
        <v>111</v>
      </c>
      <c r="E76" s="2">
        <v>111</v>
      </c>
      <c r="F76" s="2">
        <v>111</v>
      </c>
      <c r="G76" s="2">
        <v>111</v>
      </c>
      <c r="H76" s="2">
        <v>111</v>
      </c>
      <c r="I76" s="2">
        <v>111</v>
      </c>
      <c r="J76" s="2">
        <v>111</v>
      </c>
      <c r="K76" s="2">
        <v>111</v>
      </c>
      <c r="L76" s="2">
        <v>111</v>
      </c>
      <c r="M76" s="2">
        <v>111</v>
      </c>
      <c r="N76" s="2">
        <v>111</v>
      </c>
    </row>
    <row r="77" spans="2:14" x14ac:dyDescent="0.3">
      <c r="B77" s="2" t="s">
        <v>113</v>
      </c>
      <c r="C77" s="2">
        <v>111</v>
      </c>
      <c r="D77" s="2">
        <v>111</v>
      </c>
      <c r="E77" s="2">
        <v>111</v>
      </c>
      <c r="F77" s="2">
        <v>111</v>
      </c>
      <c r="G77" s="2">
        <v>111</v>
      </c>
      <c r="H77" s="2">
        <v>111</v>
      </c>
      <c r="I77" s="2">
        <v>111</v>
      </c>
      <c r="J77" s="2">
        <v>111</v>
      </c>
      <c r="K77" s="2">
        <v>111</v>
      </c>
      <c r="L77" s="2">
        <v>111</v>
      </c>
      <c r="M77" s="2">
        <v>111</v>
      </c>
      <c r="N77" s="2">
        <v>111</v>
      </c>
    </row>
    <row r="78" spans="2:14" x14ac:dyDescent="0.3">
      <c r="B78" s="2" t="s">
        <v>114</v>
      </c>
      <c r="C78" s="2">
        <v>111</v>
      </c>
      <c r="D78" s="2">
        <v>111</v>
      </c>
      <c r="E78" s="2">
        <v>111</v>
      </c>
      <c r="F78" s="2">
        <v>111</v>
      </c>
      <c r="G78" s="2">
        <v>111</v>
      </c>
      <c r="H78" s="2">
        <v>111</v>
      </c>
      <c r="I78" s="2">
        <v>111</v>
      </c>
      <c r="J78" s="2">
        <v>111</v>
      </c>
      <c r="K78" s="2">
        <v>111</v>
      </c>
      <c r="L78" s="2">
        <v>111</v>
      </c>
      <c r="M78" s="2">
        <v>111</v>
      </c>
      <c r="N78" s="2">
        <v>111</v>
      </c>
    </row>
    <row r="79" spans="2:14" x14ac:dyDescent="0.3">
      <c r="B79" s="2" t="s">
        <v>115</v>
      </c>
      <c r="C79" s="2">
        <v>111</v>
      </c>
      <c r="D79" s="2">
        <v>111</v>
      </c>
      <c r="E79" s="2">
        <v>111</v>
      </c>
      <c r="F79" s="2">
        <v>111</v>
      </c>
      <c r="G79" s="2">
        <v>111</v>
      </c>
      <c r="H79" s="2">
        <v>111</v>
      </c>
      <c r="I79" s="2">
        <v>111</v>
      </c>
      <c r="J79" s="2">
        <v>111</v>
      </c>
      <c r="K79" s="2">
        <v>111</v>
      </c>
      <c r="L79" s="2">
        <v>111</v>
      </c>
      <c r="M79" s="2">
        <v>111</v>
      </c>
      <c r="N79" s="2">
        <v>111</v>
      </c>
    </row>
    <row r="80" spans="2:14" x14ac:dyDescent="0.3">
      <c r="B80" s="2" t="s">
        <v>116</v>
      </c>
      <c r="C80" s="2">
        <v>111</v>
      </c>
      <c r="D80" s="2">
        <v>111</v>
      </c>
      <c r="E80" s="2">
        <v>111</v>
      </c>
      <c r="F80" s="2">
        <v>111</v>
      </c>
      <c r="G80" s="2">
        <v>111</v>
      </c>
      <c r="H80" s="2">
        <v>111</v>
      </c>
      <c r="I80" s="2">
        <v>111</v>
      </c>
      <c r="J80" s="2">
        <v>111</v>
      </c>
      <c r="K80" s="2">
        <v>111</v>
      </c>
      <c r="L80" s="2">
        <v>111</v>
      </c>
      <c r="M80" s="2">
        <v>111</v>
      </c>
      <c r="N80" s="2">
        <v>111</v>
      </c>
    </row>
    <row r="81" spans="2:14" x14ac:dyDescent="0.3">
      <c r="B81" s="2" t="s">
        <v>117</v>
      </c>
      <c r="C81" s="2">
        <v>111</v>
      </c>
      <c r="D81" s="2">
        <v>111</v>
      </c>
      <c r="E81" s="2">
        <v>111</v>
      </c>
      <c r="F81" s="2">
        <v>111</v>
      </c>
      <c r="G81" s="2">
        <v>111</v>
      </c>
      <c r="H81" s="2">
        <v>111</v>
      </c>
      <c r="I81" s="2">
        <v>111</v>
      </c>
      <c r="J81" s="2">
        <v>111</v>
      </c>
      <c r="K81" s="2">
        <v>111</v>
      </c>
      <c r="L81" s="2">
        <v>111</v>
      </c>
      <c r="M81" s="2">
        <v>111</v>
      </c>
      <c r="N81" s="2">
        <v>111</v>
      </c>
    </row>
    <row r="82" spans="2:14" x14ac:dyDescent="0.3">
      <c r="B82" s="2" t="s">
        <v>118</v>
      </c>
      <c r="C82" s="2">
        <v>111</v>
      </c>
      <c r="D82" s="2">
        <v>111</v>
      </c>
      <c r="E82" s="2">
        <v>111</v>
      </c>
      <c r="F82" s="2">
        <v>111</v>
      </c>
      <c r="G82" s="2">
        <v>111</v>
      </c>
      <c r="H82" s="2">
        <v>111</v>
      </c>
      <c r="I82" s="2">
        <v>111</v>
      </c>
      <c r="J82" s="2">
        <v>111</v>
      </c>
      <c r="K82" s="2">
        <v>111</v>
      </c>
      <c r="L82" s="2">
        <v>111</v>
      </c>
      <c r="M82" s="2">
        <v>111</v>
      </c>
      <c r="N82" s="2">
        <v>111</v>
      </c>
    </row>
    <row r="83" spans="2:14" x14ac:dyDescent="0.3">
      <c r="B83" s="2" t="s">
        <v>119</v>
      </c>
      <c r="C83" s="2">
        <v>111</v>
      </c>
      <c r="D83" s="2">
        <v>111</v>
      </c>
      <c r="E83" s="2">
        <v>111</v>
      </c>
      <c r="F83" s="2">
        <v>111</v>
      </c>
      <c r="G83" s="2">
        <v>111</v>
      </c>
      <c r="H83" s="2">
        <v>111</v>
      </c>
      <c r="I83" s="2">
        <v>111</v>
      </c>
      <c r="J83" s="2">
        <v>111</v>
      </c>
      <c r="K83" s="2">
        <v>111</v>
      </c>
      <c r="L83" s="2">
        <v>111</v>
      </c>
      <c r="M83" s="2">
        <v>111</v>
      </c>
      <c r="N83" s="2">
        <v>111</v>
      </c>
    </row>
    <row r="84" spans="2:14" x14ac:dyDescent="0.3">
      <c r="B84" s="2" t="s">
        <v>120</v>
      </c>
      <c r="C84" s="2">
        <v>111</v>
      </c>
      <c r="D84" s="2">
        <v>111</v>
      </c>
      <c r="E84" s="2">
        <v>111</v>
      </c>
      <c r="F84" s="2">
        <v>111</v>
      </c>
      <c r="G84" s="2">
        <v>111</v>
      </c>
      <c r="H84" s="2">
        <v>111</v>
      </c>
      <c r="I84" s="2">
        <v>111</v>
      </c>
      <c r="J84" s="2">
        <v>111</v>
      </c>
      <c r="K84" s="2">
        <v>111</v>
      </c>
      <c r="L84" s="2">
        <v>111</v>
      </c>
      <c r="M84" s="2">
        <v>111</v>
      </c>
      <c r="N84" s="2">
        <v>111</v>
      </c>
    </row>
    <row r="85" spans="2:14" x14ac:dyDescent="0.3">
      <c r="B85" s="2" t="s">
        <v>121</v>
      </c>
      <c r="C85" s="2">
        <v>111</v>
      </c>
      <c r="D85" s="2">
        <v>111</v>
      </c>
      <c r="E85" s="2">
        <v>111</v>
      </c>
      <c r="F85" s="2">
        <v>111</v>
      </c>
      <c r="G85" s="2">
        <v>111</v>
      </c>
      <c r="H85" s="2">
        <v>111</v>
      </c>
      <c r="I85" s="2">
        <v>111</v>
      </c>
      <c r="J85" s="2">
        <v>111</v>
      </c>
      <c r="K85" s="2">
        <v>111</v>
      </c>
      <c r="L85" s="2">
        <v>111</v>
      </c>
      <c r="M85" s="2">
        <v>111</v>
      </c>
      <c r="N85" s="2">
        <v>111</v>
      </c>
    </row>
    <row r="86" spans="2:14" x14ac:dyDescent="0.3">
      <c r="B86" s="2" t="s">
        <v>122</v>
      </c>
      <c r="C86" s="2">
        <v>111</v>
      </c>
      <c r="D86" s="2">
        <v>111</v>
      </c>
      <c r="E86" s="2">
        <v>111</v>
      </c>
      <c r="F86" s="2">
        <v>111</v>
      </c>
      <c r="G86" s="2">
        <v>111</v>
      </c>
      <c r="H86" s="2">
        <v>111</v>
      </c>
      <c r="I86" s="2">
        <v>111</v>
      </c>
      <c r="J86" s="2">
        <v>111</v>
      </c>
      <c r="K86" s="2">
        <v>111</v>
      </c>
      <c r="L86" s="2">
        <v>111</v>
      </c>
      <c r="M86" s="2">
        <v>111</v>
      </c>
      <c r="N86" s="2">
        <v>111</v>
      </c>
    </row>
    <row r="87" spans="2:14" x14ac:dyDescent="0.3">
      <c r="B87" s="2" t="s">
        <v>123</v>
      </c>
      <c r="C87" s="2">
        <v>111</v>
      </c>
      <c r="D87" s="2">
        <v>111</v>
      </c>
      <c r="E87" s="2">
        <v>111</v>
      </c>
      <c r="F87" s="2">
        <v>111</v>
      </c>
      <c r="G87" s="2">
        <v>111</v>
      </c>
      <c r="H87" s="2">
        <v>111</v>
      </c>
      <c r="I87" s="2">
        <v>111</v>
      </c>
      <c r="J87" s="2">
        <v>111</v>
      </c>
      <c r="K87" s="2">
        <v>111</v>
      </c>
      <c r="L87" s="2">
        <v>111</v>
      </c>
      <c r="M87" s="2">
        <v>111</v>
      </c>
      <c r="N87" s="2">
        <v>111</v>
      </c>
    </row>
    <row r="88" spans="2:14" x14ac:dyDescent="0.3">
      <c r="B88" s="2" t="s">
        <v>124</v>
      </c>
      <c r="C88" s="2">
        <v>111</v>
      </c>
      <c r="D88" s="2">
        <v>111</v>
      </c>
      <c r="E88" s="2">
        <v>111</v>
      </c>
      <c r="F88" s="2">
        <v>111</v>
      </c>
      <c r="G88" s="2">
        <v>111</v>
      </c>
      <c r="H88" s="2">
        <v>111</v>
      </c>
      <c r="I88" s="2">
        <v>111</v>
      </c>
      <c r="J88" s="2">
        <v>111</v>
      </c>
      <c r="K88" s="2">
        <v>111</v>
      </c>
      <c r="L88" s="2">
        <v>111</v>
      </c>
      <c r="M88" s="2">
        <v>111</v>
      </c>
      <c r="N88" s="2">
        <v>111</v>
      </c>
    </row>
    <row r="89" spans="2:14" x14ac:dyDescent="0.3">
      <c r="B89" s="2" t="s">
        <v>125</v>
      </c>
      <c r="C89" s="2">
        <v>111</v>
      </c>
      <c r="D89" s="2">
        <v>111</v>
      </c>
      <c r="E89" s="2">
        <v>111</v>
      </c>
      <c r="F89" s="2">
        <v>111</v>
      </c>
      <c r="G89" s="2">
        <v>111</v>
      </c>
      <c r="H89" s="2">
        <v>111</v>
      </c>
      <c r="I89" s="2">
        <v>111</v>
      </c>
      <c r="J89" s="2">
        <v>111</v>
      </c>
      <c r="K89" s="2">
        <v>111</v>
      </c>
      <c r="L89" s="2">
        <v>111</v>
      </c>
      <c r="M89" s="2">
        <v>111</v>
      </c>
      <c r="N89" s="2">
        <v>111</v>
      </c>
    </row>
    <row r="90" spans="2:14" x14ac:dyDescent="0.3">
      <c r="B90" s="2" t="s">
        <v>183</v>
      </c>
      <c r="C90" s="2">
        <v>111</v>
      </c>
      <c r="D90" s="2">
        <v>111</v>
      </c>
      <c r="E90" s="2">
        <v>111</v>
      </c>
      <c r="F90" s="2">
        <v>111</v>
      </c>
      <c r="G90" s="2">
        <v>111</v>
      </c>
      <c r="H90" s="2">
        <v>111</v>
      </c>
      <c r="I90" s="2">
        <v>111</v>
      </c>
      <c r="J90" s="2">
        <v>111</v>
      </c>
      <c r="K90" s="2">
        <v>111</v>
      </c>
      <c r="L90" s="2">
        <v>111</v>
      </c>
      <c r="M90" s="2">
        <v>111</v>
      </c>
      <c r="N90" s="2">
        <v>111</v>
      </c>
    </row>
    <row r="91" spans="2:14" x14ac:dyDescent="0.3">
      <c r="B91" s="2" t="s">
        <v>184</v>
      </c>
      <c r="C91" s="2">
        <v>111</v>
      </c>
      <c r="D91" s="2">
        <v>111</v>
      </c>
      <c r="E91" s="2">
        <v>111</v>
      </c>
      <c r="F91" s="2">
        <v>111</v>
      </c>
      <c r="G91" s="2">
        <v>111</v>
      </c>
      <c r="H91" s="2">
        <v>111</v>
      </c>
      <c r="I91" s="2">
        <v>111</v>
      </c>
      <c r="J91" s="2">
        <v>111</v>
      </c>
      <c r="K91" s="2">
        <v>111</v>
      </c>
      <c r="L91" s="2">
        <v>111</v>
      </c>
      <c r="M91" s="2">
        <v>111</v>
      </c>
      <c r="N91" s="2">
        <v>111</v>
      </c>
    </row>
    <row r="92" spans="2:14" x14ac:dyDescent="0.3">
      <c r="B92" s="2" t="s">
        <v>185</v>
      </c>
      <c r="C92" s="2">
        <v>111</v>
      </c>
      <c r="D92" s="2">
        <v>111</v>
      </c>
      <c r="E92" s="2">
        <v>111</v>
      </c>
      <c r="F92" s="2">
        <v>111</v>
      </c>
      <c r="G92" s="2">
        <v>111</v>
      </c>
      <c r="H92" s="2">
        <v>111</v>
      </c>
      <c r="I92" s="2">
        <v>111</v>
      </c>
      <c r="J92" s="2">
        <v>111</v>
      </c>
      <c r="K92" s="2">
        <v>111</v>
      </c>
      <c r="L92" s="2">
        <v>111</v>
      </c>
      <c r="M92" s="2">
        <v>111</v>
      </c>
      <c r="N92" s="2">
        <v>111</v>
      </c>
    </row>
    <row r="93" spans="2:14" x14ac:dyDescent="0.3">
      <c r="B93" s="2" t="s">
        <v>186</v>
      </c>
      <c r="C93" s="2">
        <v>111</v>
      </c>
      <c r="D93" s="2">
        <v>111</v>
      </c>
      <c r="E93" s="2">
        <v>111</v>
      </c>
      <c r="F93" s="2">
        <v>111</v>
      </c>
      <c r="G93" s="2">
        <v>111</v>
      </c>
      <c r="H93" s="2">
        <v>111</v>
      </c>
      <c r="I93" s="2">
        <v>111</v>
      </c>
      <c r="J93" s="2">
        <v>111</v>
      </c>
      <c r="K93" s="2">
        <v>111</v>
      </c>
      <c r="L93" s="2">
        <v>111</v>
      </c>
      <c r="M93" s="2">
        <v>111</v>
      </c>
      <c r="N93" s="2">
        <v>111</v>
      </c>
    </row>
    <row r="94" spans="2:14" x14ac:dyDescent="0.3">
      <c r="B94" s="2" t="s">
        <v>187</v>
      </c>
      <c r="C94" s="2">
        <v>111</v>
      </c>
      <c r="D94" s="2">
        <v>111</v>
      </c>
      <c r="E94" s="2">
        <v>111</v>
      </c>
      <c r="F94" s="2">
        <v>111</v>
      </c>
      <c r="G94" s="2">
        <v>111</v>
      </c>
      <c r="H94" s="2">
        <v>111</v>
      </c>
      <c r="I94" s="2">
        <v>111</v>
      </c>
      <c r="J94" s="2">
        <v>111</v>
      </c>
      <c r="K94" s="2">
        <v>111</v>
      </c>
      <c r="L94" s="2">
        <v>111</v>
      </c>
      <c r="M94" s="2">
        <v>111</v>
      </c>
      <c r="N94" s="2">
        <v>111</v>
      </c>
    </row>
    <row r="95" spans="2:14" x14ac:dyDescent="0.3">
      <c r="B95" s="2" t="s">
        <v>188</v>
      </c>
      <c r="C95" s="2">
        <v>111</v>
      </c>
      <c r="D95" s="2">
        <v>111</v>
      </c>
      <c r="E95" s="2">
        <v>111</v>
      </c>
      <c r="F95" s="2">
        <v>111</v>
      </c>
      <c r="G95" s="2">
        <v>111</v>
      </c>
      <c r="H95" s="2">
        <v>111</v>
      </c>
      <c r="I95" s="2">
        <v>111</v>
      </c>
      <c r="J95" s="2">
        <v>111</v>
      </c>
      <c r="K95" s="2">
        <v>111</v>
      </c>
      <c r="L95" s="2">
        <v>111</v>
      </c>
      <c r="M95" s="2">
        <v>111</v>
      </c>
      <c r="N95" s="2">
        <v>111</v>
      </c>
    </row>
    <row r="96" spans="2:14" x14ac:dyDescent="0.3">
      <c r="B96" s="2" t="s">
        <v>189</v>
      </c>
      <c r="C96" s="2">
        <v>111</v>
      </c>
      <c r="D96" s="2">
        <v>111</v>
      </c>
      <c r="E96" s="2">
        <v>111</v>
      </c>
      <c r="F96" s="2">
        <v>111</v>
      </c>
      <c r="G96" s="2">
        <v>111</v>
      </c>
      <c r="H96" s="2">
        <v>111</v>
      </c>
      <c r="I96" s="2">
        <v>111</v>
      </c>
      <c r="J96" s="2">
        <v>111</v>
      </c>
      <c r="K96" s="2">
        <v>111</v>
      </c>
      <c r="L96" s="2">
        <v>111</v>
      </c>
      <c r="M96" s="2">
        <v>111</v>
      </c>
      <c r="N96" s="2">
        <v>111</v>
      </c>
    </row>
    <row r="97" spans="2:14" x14ac:dyDescent="0.3">
      <c r="B97" s="2" t="s">
        <v>190</v>
      </c>
      <c r="C97" s="2">
        <v>111</v>
      </c>
      <c r="D97" s="2">
        <v>111</v>
      </c>
      <c r="E97" s="2">
        <v>111</v>
      </c>
      <c r="F97" s="2">
        <v>111</v>
      </c>
      <c r="G97" s="2">
        <v>111</v>
      </c>
      <c r="H97" s="2">
        <v>111</v>
      </c>
      <c r="I97" s="2">
        <v>111</v>
      </c>
      <c r="J97" s="2">
        <v>111</v>
      </c>
      <c r="K97" s="2">
        <v>111</v>
      </c>
      <c r="L97" s="2">
        <v>111</v>
      </c>
      <c r="M97" s="2">
        <v>111</v>
      </c>
      <c r="N97" s="2">
        <v>111</v>
      </c>
    </row>
    <row r="98" spans="2:14" x14ac:dyDescent="0.3">
      <c r="B98" s="2" t="s">
        <v>191</v>
      </c>
      <c r="C98" s="2">
        <v>111</v>
      </c>
      <c r="D98" s="2">
        <v>111</v>
      </c>
      <c r="E98" s="2">
        <v>111</v>
      </c>
      <c r="F98" s="2">
        <v>111</v>
      </c>
      <c r="G98" s="2">
        <v>111</v>
      </c>
      <c r="H98" s="2">
        <v>111</v>
      </c>
      <c r="I98" s="2">
        <v>111</v>
      </c>
      <c r="J98" s="2">
        <v>111</v>
      </c>
      <c r="K98" s="2">
        <v>111</v>
      </c>
      <c r="L98" s="2">
        <v>111</v>
      </c>
      <c r="M98" s="2">
        <v>111</v>
      </c>
      <c r="N98" s="2">
        <v>111</v>
      </c>
    </row>
    <row r="99" spans="2:14" x14ac:dyDescent="0.3">
      <c r="B99" s="2" t="s">
        <v>192</v>
      </c>
      <c r="C99" s="2">
        <v>111</v>
      </c>
      <c r="D99" s="2">
        <v>111</v>
      </c>
      <c r="E99" s="2">
        <v>111</v>
      </c>
      <c r="F99" s="2">
        <v>111</v>
      </c>
      <c r="G99" s="2">
        <v>111</v>
      </c>
      <c r="H99" s="2">
        <v>111</v>
      </c>
      <c r="I99" s="2">
        <v>111</v>
      </c>
      <c r="J99" s="2">
        <v>111</v>
      </c>
      <c r="K99" s="2">
        <v>111</v>
      </c>
      <c r="L99" s="2">
        <v>111</v>
      </c>
      <c r="M99" s="2">
        <v>111</v>
      </c>
      <c r="N99" s="2">
        <v>111</v>
      </c>
    </row>
    <row r="100" spans="2:14" x14ac:dyDescent="0.3">
      <c r="B100" s="2" t="s">
        <v>193</v>
      </c>
      <c r="C100" s="2">
        <v>111</v>
      </c>
      <c r="D100" s="2">
        <v>111</v>
      </c>
      <c r="E100" s="2">
        <v>111</v>
      </c>
      <c r="F100" s="2">
        <v>111</v>
      </c>
      <c r="G100" s="2">
        <v>111</v>
      </c>
      <c r="H100" s="2">
        <v>111</v>
      </c>
      <c r="I100" s="2">
        <v>111</v>
      </c>
      <c r="J100" s="2">
        <v>111</v>
      </c>
      <c r="K100" s="2">
        <v>111</v>
      </c>
      <c r="L100" s="2">
        <v>111</v>
      </c>
      <c r="M100" s="2">
        <v>111</v>
      </c>
      <c r="N100" s="2">
        <v>111</v>
      </c>
    </row>
    <row r="101" spans="2:14" x14ac:dyDescent="0.3">
      <c r="B101" s="2" t="s">
        <v>194</v>
      </c>
      <c r="C101" s="2">
        <v>111</v>
      </c>
      <c r="D101" s="2">
        <v>111</v>
      </c>
      <c r="E101" s="2">
        <v>111</v>
      </c>
      <c r="F101" s="2">
        <v>111</v>
      </c>
      <c r="G101" s="2">
        <v>111</v>
      </c>
      <c r="H101" s="2">
        <v>111</v>
      </c>
      <c r="I101" s="2">
        <v>111</v>
      </c>
      <c r="J101" s="2">
        <v>111</v>
      </c>
      <c r="K101" s="2">
        <v>111</v>
      </c>
      <c r="L101" s="2">
        <v>111</v>
      </c>
      <c r="M101" s="2">
        <v>111</v>
      </c>
      <c r="N101" s="2">
        <v>111</v>
      </c>
    </row>
    <row r="102" spans="2:14" x14ac:dyDescent="0.3">
      <c r="B102" s="2" t="s">
        <v>195</v>
      </c>
      <c r="C102" s="2">
        <v>111</v>
      </c>
      <c r="D102" s="2">
        <v>111</v>
      </c>
      <c r="E102" s="2">
        <v>111</v>
      </c>
      <c r="F102" s="2">
        <v>111</v>
      </c>
      <c r="G102" s="2">
        <v>111</v>
      </c>
      <c r="H102" s="2">
        <v>111</v>
      </c>
      <c r="I102" s="2">
        <v>111</v>
      </c>
      <c r="J102" s="2">
        <v>111</v>
      </c>
      <c r="K102" s="2">
        <v>111</v>
      </c>
      <c r="L102" s="2">
        <v>111</v>
      </c>
      <c r="M102" s="2">
        <v>111</v>
      </c>
      <c r="N102" s="2">
        <v>111</v>
      </c>
    </row>
    <row r="103" spans="2:14" x14ac:dyDescent="0.3">
      <c r="B103" s="2" t="s">
        <v>196</v>
      </c>
      <c r="C103" s="2">
        <v>111</v>
      </c>
      <c r="D103" s="2">
        <v>111</v>
      </c>
      <c r="E103" s="2">
        <v>111</v>
      </c>
      <c r="F103" s="2">
        <v>111</v>
      </c>
      <c r="G103" s="2">
        <v>111</v>
      </c>
      <c r="H103" s="2">
        <v>111</v>
      </c>
      <c r="I103" s="2">
        <v>111</v>
      </c>
      <c r="J103" s="2">
        <v>111</v>
      </c>
      <c r="K103" s="2">
        <v>111</v>
      </c>
      <c r="L103" s="2">
        <v>111</v>
      </c>
      <c r="M103" s="2">
        <v>111</v>
      </c>
      <c r="N103" s="2">
        <v>111</v>
      </c>
    </row>
    <row r="104" spans="2:14" x14ac:dyDescent="0.3">
      <c r="B104" s="2" t="s">
        <v>197</v>
      </c>
      <c r="C104" s="2">
        <v>111</v>
      </c>
      <c r="D104" s="2">
        <v>111</v>
      </c>
      <c r="E104" s="2">
        <v>111</v>
      </c>
      <c r="F104" s="2">
        <v>111</v>
      </c>
      <c r="G104" s="2">
        <v>111</v>
      </c>
      <c r="H104" s="2">
        <v>111</v>
      </c>
      <c r="I104" s="2">
        <v>111</v>
      </c>
      <c r="J104" s="2">
        <v>111</v>
      </c>
      <c r="K104" s="2">
        <v>111</v>
      </c>
      <c r="L104" s="2">
        <v>111</v>
      </c>
      <c r="M104" s="2">
        <v>111</v>
      </c>
      <c r="N104" s="2">
        <v>111</v>
      </c>
    </row>
    <row r="105" spans="2:14" x14ac:dyDescent="0.3">
      <c r="B105" s="2" t="s">
        <v>198</v>
      </c>
      <c r="C105" s="2">
        <v>111</v>
      </c>
      <c r="D105" s="2">
        <v>111</v>
      </c>
      <c r="E105" s="2">
        <v>111</v>
      </c>
      <c r="F105" s="2">
        <v>111</v>
      </c>
      <c r="G105" s="2">
        <v>111</v>
      </c>
      <c r="H105" s="2">
        <v>111</v>
      </c>
      <c r="I105" s="2">
        <v>111</v>
      </c>
      <c r="J105" s="2">
        <v>111</v>
      </c>
      <c r="K105" s="2">
        <v>111</v>
      </c>
      <c r="L105" s="2">
        <v>111</v>
      </c>
      <c r="M105" s="2">
        <v>111</v>
      </c>
      <c r="N105" s="2">
        <v>111</v>
      </c>
    </row>
    <row r="106" spans="2:14" x14ac:dyDescent="0.3">
      <c r="B106" s="2" t="s">
        <v>199</v>
      </c>
      <c r="C106" s="2">
        <v>111</v>
      </c>
      <c r="D106" s="2">
        <v>111</v>
      </c>
      <c r="E106" s="2">
        <v>111</v>
      </c>
      <c r="F106" s="2">
        <v>111</v>
      </c>
      <c r="G106" s="2">
        <v>111</v>
      </c>
      <c r="H106" s="2">
        <v>111</v>
      </c>
      <c r="I106" s="2">
        <v>111</v>
      </c>
      <c r="J106" s="2">
        <v>111</v>
      </c>
      <c r="K106" s="2">
        <v>111</v>
      </c>
      <c r="L106" s="2">
        <v>111</v>
      </c>
      <c r="M106" s="2">
        <v>111</v>
      </c>
      <c r="N106" s="2">
        <v>111</v>
      </c>
    </row>
    <row r="107" spans="2:14" x14ac:dyDescent="0.3">
      <c r="B107" s="2" t="s">
        <v>200</v>
      </c>
      <c r="C107" s="2">
        <v>111</v>
      </c>
      <c r="D107" s="2">
        <v>111</v>
      </c>
      <c r="E107" s="2">
        <v>111</v>
      </c>
      <c r="F107" s="2">
        <v>111</v>
      </c>
      <c r="G107" s="2">
        <v>111</v>
      </c>
      <c r="H107" s="2">
        <v>111</v>
      </c>
      <c r="I107" s="2">
        <v>111</v>
      </c>
      <c r="J107" s="2">
        <v>111</v>
      </c>
      <c r="K107" s="2">
        <v>111</v>
      </c>
      <c r="L107" s="2">
        <v>111</v>
      </c>
      <c r="M107" s="2">
        <v>111</v>
      </c>
      <c r="N107" s="2">
        <v>111</v>
      </c>
    </row>
    <row r="108" spans="2:14" x14ac:dyDescent="0.3">
      <c r="B108" s="2" t="s">
        <v>201</v>
      </c>
      <c r="C108" s="2">
        <v>111</v>
      </c>
      <c r="D108" s="2">
        <v>111</v>
      </c>
      <c r="E108" s="2">
        <v>111</v>
      </c>
      <c r="F108" s="2">
        <v>111</v>
      </c>
      <c r="G108" s="2">
        <v>111</v>
      </c>
      <c r="H108" s="2">
        <v>111</v>
      </c>
      <c r="I108" s="2">
        <v>111</v>
      </c>
      <c r="J108" s="2">
        <v>111</v>
      </c>
      <c r="K108" s="2">
        <v>111</v>
      </c>
      <c r="L108" s="2">
        <v>111</v>
      </c>
      <c r="M108" s="2">
        <v>111</v>
      </c>
      <c r="N108" s="2">
        <v>111</v>
      </c>
    </row>
    <row r="109" spans="2:14" x14ac:dyDescent="0.3">
      <c r="B109" s="2" t="s">
        <v>202</v>
      </c>
      <c r="C109" s="2">
        <v>111</v>
      </c>
      <c r="D109" s="2">
        <v>111</v>
      </c>
      <c r="E109" s="2">
        <v>111</v>
      </c>
      <c r="F109" s="2">
        <v>111</v>
      </c>
      <c r="G109" s="2">
        <v>111</v>
      </c>
      <c r="H109" s="2">
        <v>111</v>
      </c>
      <c r="I109" s="2">
        <v>111</v>
      </c>
      <c r="J109" s="2">
        <v>111</v>
      </c>
      <c r="K109" s="2">
        <v>111</v>
      </c>
      <c r="L109" s="2">
        <v>111</v>
      </c>
      <c r="M109" s="2">
        <v>111</v>
      </c>
      <c r="N109" s="2">
        <v>111</v>
      </c>
    </row>
    <row r="110" spans="2:14" x14ac:dyDescent="0.3">
      <c r="B110" s="2" t="s">
        <v>203</v>
      </c>
      <c r="C110" s="2">
        <v>111</v>
      </c>
      <c r="D110" s="2">
        <v>111</v>
      </c>
      <c r="E110" s="2">
        <v>111</v>
      </c>
      <c r="F110" s="2">
        <v>111</v>
      </c>
      <c r="G110" s="2">
        <v>111</v>
      </c>
      <c r="H110" s="2">
        <v>111</v>
      </c>
      <c r="I110" s="2">
        <v>111</v>
      </c>
      <c r="J110" s="2">
        <v>111</v>
      </c>
      <c r="K110" s="2">
        <v>111</v>
      </c>
      <c r="L110" s="2">
        <v>111</v>
      </c>
      <c r="M110" s="2">
        <v>111</v>
      </c>
      <c r="N110" s="2">
        <v>111</v>
      </c>
    </row>
    <row r="111" spans="2:14" x14ac:dyDescent="0.3">
      <c r="B111" s="2" t="s">
        <v>204</v>
      </c>
      <c r="C111" s="2">
        <v>111</v>
      </c>
      <c r="D111" s="2">
        <v>111</v>
      </c>
      <c r="E111" s="2">
        <v>111</v>
      </c>
      <c r="F111" s="2">
        <v>111</v>
      </c>
      <c r="G111" s="2">
        <v>111</v>
      </c>
      <c r="H111" s="2">
        <v>111</v>
      </c>
      <c r="I111" s="2">
        <v>111</v>
      </c>
      <c r="J111" s="2">
        <v>111</v>
      </c>
      <c r="K111" s="2">
        <v>111</v>
      </c>
      <c r="L111" s="2">
        <v>111</v>
      </c>
      <c r="M111" s="2">
        <v>111</v>
      </c>
      <c r="N111" s="2">
        <v>111</v>
      </c>
    </row>
    <row r="112" spans="2:14" x14ac:dyDescent="0.3">
      <c r="B112" s="2" t="s">
        <v>205</v>
      </c>
      <c r="C112" s="2">
        <v>111</v>
      </c>
      <c r="D112" s="2">
        <v>111</v>
      </c>
      <c r="E112" s="2">
        <v>111</v>
      </c>
      <c r="F112" s="2">
        <v>111</v>
      </c>
      <c r="G112" s="2">
        <v>111</v>
      </c>
      <c r="H112" s="2">
        <v>111</v>
      </c>
      <c r="I112" s="2">
        <v>111</v>
      </c>
      <c r="J112" s="2">
        <v>111</v>
      </c>
      <c r="K112" s="2">
        <v>111</v>
      </c>
      <c r="L112" s="2">
        <v>111</v>
      </c>
      <c r="M112" s="2">
        <v>111</v>
      </c>
      <c r="N112" s="2">
        <v>111</v>
      </c>
    </row>
    <row r="113" spans="2:14" x14ac:dyDescent="0.3">
      <c r="B113" s="2" t="s">
        <v>206</v>
      </c>
      <c r="C113" s="2">
        <v>111</v>
      </c>
      <c r="D113" s="2">
        <v>111</v>
      </c>
      <c r="E113" s="2">
        <v>111</v>
      </c>
      <c r="F113" s="2">
        <v>111</v>
      </c>
      <c r="G113" s="2">
        <v>111</v>
      </c>
      <c r="H113" s="2">
        <v>111</v>
      </c>
      <c r="I113" s="2">
        <v>111</v>
      </c>
      <c r="J113" s="2">
        <v>111</v>
      </c>
      <c r="K113" s="2">
        <v>111</v>
      </c>
      <c r="L113" s="2">
        <v>111</v>
      </c>
      <c r="M113" s="2">
        <v>111</v>
      </c>
      <c r="N113" s="2">
        <v>111</v>
      </c>
    </row>
    <row r="114" spans="2:14" x14ac:dyDescent="0.3">
      <c r="B114" s="2" t="s">
        <v>207</v>
      </c>
      <c r="C114" s="2">
        <v>111</v>
      </c>
      <c r="D114" s="2">
        <v>111</v>
      </c>
      <c r="E114" s="2">
        <v>111</v>
      </c>
      <c r="F114" s="2">
        <v>111</v>
      </c>
      <c r="G114" s="2">
        <v>111</v>
      </c>
      <c r="H114" s="2">
        <v>111</v>
      </c>
      <c r="I114" s="2">
        <v>111</v>
      </c>
      <c r="J114" s="2">
        <v>111</v>
      </c>
      <c r="K114" s="2">
        <v>111</v>
      </c>
      <c r="L114" s="2">
        <v>111</v>
      </c>
      <c r="M114" s="2">
        <v>111</v>
      </c>
      <c r="N114" s="2">
        <v>111</v>
      </c>
    </row>
    <row r="115" spans="2:14" x14ac:dyDescent="0.3">
      <c r="B115" s="2" t="s">
        <v>208</v>
      </c>
      <c r="C115" s="2">
        <v>111</v>
      </c>
      <c r="D115" s="2">
        <v>111</v>
      </c>
      <c r="E115" s="2">
        <v>111</v>
      </c>
      <c r="F115" s="2">
        <v>111</v>
      </c>
      <c r="G115" s="2">
        <v>111</v>
      </c>
      <c r="H115" s="2">
        <v>111</v>
      </c>
      <c r="I115" s="2">
        <v>111</v>
      </c>
      <c r="J115" s="2">
        <v>111</v>
      </c>
      <c r="K115" s="2">
        <v>111</v>
      </c>
      <c r="L115" s="2">
        <v>111</v>
      </c>
      <c r="M115" s="2">
        <v>111</v>
      </c>
      <c r="N115" s="2">
        <v>111</v>
      </c>
    </row>
    <row r="116" spans="2:14" x14ac:dyDescent="0.3">
      <c r="B116" s="2" t="s">
        <v>209</v>
      </c>
      <c r="C116" s="2">
        <v>111</v>
      </c>
      <c r="D116" s="2">
        <v>111</v>
      </c>
      <c r="E116" s="2">
        <v>111</v>
      </c>
      <c r="F116" s="2">
        <v>111</v>
      </c>
      <c r="G116" s="2">
        <v>111</v>
      </c>
      <c r="H116" s="2">
        <v>111</v>
      </c>
      <c r="I116" s="2">
        <v>111</v>
      </c>
      <c r="J116" s="2">
        <v>111</v>
      </c>
      <c r="K116" s="2">
        <v>111</v>
      </c>
      <c r="L116" s="2">
        <v>111</v>
      </c>
      <c r="M116" s="2">
        <v>111</v>
      </c>
      <c r="N116" s="2">
        <v>111</v>
      </c>
    </row>
    <row r="117" spans="2:14" x14ac:dyDescent="0.3">
      <c r="B117" s="2" t="s">
        <v>210</v>
      </c>
      <c r="C117" s="2">
        <v>111</v>
      </c>
      <c r="D117" s="2">
        <v>111</v>
      </c>
      <c r="E117" s="2">
        <v>111</v>
      </c>
      <c r="F117" s="2">
        <v>111</v>
      </c>
      <c r="G117" s="2">
        <v>111</v>
      </c>
      <c r="H117" s="2">
        <v>111</v>
      </c>
      <c r="I117" s="2">
        <v>111</v>
      </c>
      <c r="J117" s="2">
        <v>111</v>
      </c>
      <c r="K117" s="2">
        <v>111</v>
      </c>
      <c r="L117" s="2">
        <v>111</v>
      </c>
      <c r="M117" s="2">
        <v>111</v>
      </c>
      <c r="N117" s="2">
        <v>111</v>
      </c>
    </row>
    <row r="118" spans="2:14" x14ac:dyDescent="0.3">
      <c r="B118" s="2" t="s">
        <v>211</v>
      </c>
      <c r="C118" s="2">
        <v>111</v>
      </c>
      <c r="D118" s="2">
        <v>111</v>
      </c>
      <c r="E118" s="2">
        <v>111</v>
      </c>
      <c r="F118" s="2">
        <v>111</v>
      </c>
      <c r="G118" s="2">
        <v>111</v>
      </c>
      <c r="H118" s="2">
        <v>111</v>
      </c>
      <c r="I118" s="2">
        <v>111</v>
      </c>
      <c r="J118" s="2">
        <v>111</v>
      </c>
      <c r="K118" s="2">
        <v>111</v>
      </c>
      <c r="L118" s="2">
        <v>111</v>
      </c>
      <c r="M118" s="2">
        <v>111</v>
      </c>
      <c r="N118" s="2">
        <v>111</v>
      </c>
    </row>
    <row r="119" spans="2:14" x14ac:dyDescent="0.3">
      <c r="B119" s="2" t="s">
        <v>212</v>
      </c>
      <c r="C119" s="2">
        <v>111</v>
      </c>
      <c r="D119" s="2">
        <v>111</v>
      </c>
      <c r="E119" s="2">
        <v>111</v>
      </c>
      <c r="F119" s="2">
        <v>111</v>
      </c>
      <c r="G119" s="2">
        <v>111</v>
      </c>
      <c r="H119" s="2">
        <v>111</v>
      </c>
      <c r="I119" s="2">
        <v>111</v>
      </c>
      <c r="J119" s="2">
        <v>111</v>
      </c>
      <c r="K119" s="2">
        <v>111</v>
      </c>
      <c r="L119" s="2">
        <v>111</v>
      </c>
      <c r="M119" s="2">
        <v>111</v>
      </c>
      <c r="N119" s="2">
        <v>111</v>
      </c>
    </row>
    <row r="120" spans="2:14" x14ac:dyDescent="0.3">
      <c r="B120" s="2" t="s">
        <v>213</v>
      </c>
      <c r="C120" s="2">
        <v>111</v>
      </c>
      <c r="D120" s="2">
        <v>111</v>
      </c>
      <c r="E120" s="2">
        <v>111</v>
      </c>
      <c r="F120" s="2">
        <v>111</v>
      </c>
      <c r="G120" s="2">
        <v>111</v>
      </c>
      <c r="H120" s="2">
        <v>111</v>
      </c>
      <c r="I120" s="2">
        <v>111</v>
      </c>
      <c r="J120" s="2">
        <v>111</v>
      </c>
      <c r="K120" s="2">
        <v>111</v>
      </c>
      <c r="L120" s="2">
        <v>111</v>
      </c>
      <c r="M120" s="2">
        <v>111</v>
      </c>
      <c r="N120" s="2">
        <v>111</v>
      </c>
    </row>
    <row r="121" spans="2:14" x14ac:dyDescent="0.3">
      <c r="B121" s="2" t="s">
        <v>214</v>
      </c>
      <c r="C121" s="2">
        <v>111</v>
      </c>
      <c r="D121" s="2">
        <v>111</v>
      </c>
      <c r="E121" s="2">
        <v>111</v>
      </c>
      <c r="F121" s="2">
        <v>111</v>
      </c>
      <c r="G121" s="2">
        <v>111</v>
      </c>
      <c r="H121" s="2">
        <v>111</v>
      </c>
      <c r="I121" s="2">
        <v>111</v>
      </c>
      <c r="J121" s="2">
        <v>111</v>
      </c>
      <c r="K121" s="2">
        <v>111</v>
      </c>
      <c r="L121" s="2">
        <v>111</v>
      </c>
      <c r="M121" s="2">
        <v>111</v>
      </c>
      <c r="N121" s="2">
        <v>111</v>
      </c>
    </row>
    <row r="122" spans="2:14" x14ac:dyDescent="0.3">
      <c r="B122" s="2" t="s">
        <v>215</v>
      </c>
      <c r="C122" s="2">
        <v>111</v>
      </c>
      <c r="D122" s="2">
        <v>111</v>
      </c>
      <c r="E122" s="2">
        <v>111</v>
      </c>
      <c r="F122" s="2">
        <v>111</v>
      </c>
      <c r="G122" s="2">
        <v>111</v>
      </c>
      <c r="H122" s="2">
        <v>111</v>
      </c>
      <c r="I122" s="2">
        <v>111</v>
      </c>
      <c r="J122" s="2">
        <v>111</v>
      </c>
      <c r="K122" s="2">
        <v>111</v>
      </c>
      <c r="L122" s="2">
        <v>111</v>
      </c>
      <c r="M122" s="2">
        <v>111</v>
      </c>
      <c r="N122" s="2">
        <v>111</v>
      </c>
    </row>
    <row r="123" spans="2:14" x14ac:dyDescent="0.3">
      <c r="B123" s="2" t="s">
        <v>216</v>
      </c>
      <c r="C123" s="2">
        <v>111</v>
      </c>
      <c r="D123" s="2">
        <v>111</v>
      </c>
      <c r="E123" s="2">
        <v>111</v>
      </c>
      <c r="F123" s="2">
        <v>111</v>
      </c>
      <c r="G123" s="2">
        <v>111</v>
      </c>
      <c r="H123" s="2">
        <v>111</v>
      </c>
      <c r="I123" s="2">
        <v>111</v>
      </c>
      <c r="J123" s="2">
        <v>111</v>
      </c>
      <c r="K123" s="2">
        <v>111</v>
      </c>
      <c r="L123" s="2">
        <v>111</v>
      </c>
      <c r="M123" s="2">
        <v>111</v>
      </c>
      <c r="N123" s="2">
        <v>111</v>
      </c>
    </row>
    <row r="124" spans="2:14" x14ac:dyDescent="0.3">
      <c r="B124" s="2" t="s">
        <v>217</v>
      </c>
      <c r="C124" s="2">
        <v>111</v>
      </c>
      <c r="D124" s="2">
        <v>111</v>
      </c>
      <c r="E124" s="2">
        <v>111</v>
      </c>
      <c r="F124" s="2">
        <v>111</v>
      </c>
      <c r="G124" s="2">
        <v>111</v>
      </c>
      <c r="H124" s="2">
        <v>111</v>
      </c>
      <c r="I124" s="2">
        <v>111</v>
      </c>
      <c r="J124" s="2">
        <v>111</v>
      </c>
      <c r="K124" s="2">
        <v>111</v>
      </c>
      <c r="L124" s="2">
        <v>111</v>
      </c>
      <c r="M124" s="2">
        <v>111</v>
      </c>
      <c r="N124" s="2">
        <v>111</v>
      </c>
    </row>
    <row r="125" spans="2:14" x14ac:dyDescent="0.3">
      <c r="B125" s="2" t="s">
        <v>218</v>
      </c>
      <c r="C125" s="2">
        <v>111</v>
      </c>
      <c r="D125" s="2">
        <v>111</v>
      </c>
      <c r="E125" s="2">
        <v>111</v>
      </c>
      <c r="F125" s="2">
        <v>111</v>
      </c>
      <c r="G125" s="2">
        <v>111</v>
      </c>
      <c r="H125" s="2">
        <v>111</v>
      </c>
      <c r="I125" s="2">
        <v>111</v>
      </c>
      <c r="J125" s="2">
        <v>111</v>
      </c>
      <c r="K125" s="2">
        <v>111</v>
      </c>
      <c r="L125" s="2">
        <v>111</v>
      </c>
      <c r="M125" s="2">
        <v>111</v>
      </c>
      <c r="N125" s="2">
        <v>111</v>
      </c>
    </row>
    <row r="126" spans="2:14" x14ac:dyDescent="0.3">
      <c r="B126" s="2" t="s">
        <v>219</v>
      </c>
      <c r="C126" s="2">
        <v>111</v>
      </c>
      <c r="D126" s="2">
        <v>111</v>
      </c>
      <c r="E126" s="2">
        <v>111</v>
      </c>
      <c r="F126" s="2">
        <v>111</v>
      </c>
      <c r="G126" s="2">
        <v>111</v>
      </c>
      <c r="H126" s="2">
        <v>111</v>
      </c>
      <c r="I126" s="2">
        <v>111</v>
      </c>
      <c r="J126" s="2">
        <v>111</v>
      </c>
      <c r="K126" s="2">
        <v>111</v>
      </c>
      <c r="L126" s="2">
        <v>111</v>
      </c>
      <c r="M126" s="2">
        <v>111</v>
      </c>
      <c r="N126" s="2">
        <v>111</v>
      </c>
    </row>
    <row r="127" spans="2:14" x14ac:dyDescent="0.3">
      <c r="B127" s="2" t="s">
        <v>220</v>
      </c>
      <c r="C127" s="2">
        <v>111</v>
      </c>
      <c r="D127" s="2">
        <v>111</v>
      </c>
      <c r="E127" s="2">
        <v>111</v>
      </c>
      <c r="F127" s="2">
        <v>111</v>
      </c>
      <c r="G127" s="2">
        <v>111</v>
      </c>
      <c r="H127" s="2">
        <v>111</v>
      </c>
      <c r="I127" s="2">
        <v>111</v>
      </c>
      <c r="J127" s="2">
        <v>111</v>
      </c>
      <c r="K127" s="2">
        <v>111</v>
      </c>
      <c r="L127" s="2">
        <v>111</v>
      </c>
      <c r="M127" s="2">
        <v>111</v>
      </c>
      <c r="N127" s="2">
        <v>111</v>
      </c>
    </row>
    <row r="128" spans="2:14" x14ac:dyDescent="0.3">
      <c r="B128" s="2" t="s">
        <v>221</v>
      </c>
      <c r="C128" s="2">
        <v>111</v>
      </c>
      <c r="D128" s="2">
        <v>111</v>
      </c>
      <c r="E128" s="2">
        <v>111</v>
      </c>
      <c r="F128" s="2">
        <v>111</v>
      </c>
      <c r="G128" s="2">
        <v>111</v>
      </c>
      <c r="H128" s="2">
        <v>111</v>
      </c>
      <c r="I128" s="2">
        <v>111</v>
      </c>
      <c r="J128" s="2">
        <v>111</v>
      </c>
      <c r="K128" s="2">
        <v>111</v>
      </c>
      <c r="L128" s="2">
        <v>111</v>
      </c>
      <c r="M128" s="2">
        <v>111</v>
      </c>
      <c r="N128" s="2">
        <v>111</v>
      </c>
    </row>
    <row r="129" spans="2:14" x14ac:dyDescent="0.3">
      <c r="B129" s="2" t="s">
        <v>222</v>
      </c>
      <c r="C129" s="2">
        <v>111</v>
      </c>
      <c r="D129" s="2">
        <v>111</v>
      </c>
      <c r="E129" s="2">
        <v>111</v>
      </c>
      <c r="F129" s="2">
        <v>111</v>
      </c>
      <c r="G129" s="2">
        <v>111</v>
      </c>
      <c r="H129" s="2">
        <v>111</v>
      </c>
      <c r="I129" s="2">
        <v>111</v>
      </c>
      <c r="J129" s="2">
        <v>111</v>
      </c>
      <c r="K129" s="2">
        <v>111</v>
      </c>
      <c r="L129" s="2">
        <v>111</v>
      </c>
      <c r="M129" s="2">
        <v>111</v>
      </c>
      <c r="N129" s="2">
        <v>111</v>
      </c>
    </row>
    <row r="130" spans="2:14" x14ac:dyDescent="0.3">
      <c r="B130" s="2" t="s">
        <v>223</v>
      </c>
      <c r="C130" s="2">
        <v>111</v>
      </c>
      <c r="D130" s="2">
        <v>111</v>
      </c>
      <c r="E130" s="2">
        <v>111</v>
      </c>
      <c r="F130" s="2">
        <v>111</v>
      </c>
      <c r="G130" s="2">
        <v>111</v>
      </c>
      <c r="H130" s="2">
        <v>111</v>
      </c>
      <c r="I130" s="2">
        <v>111</v>
      </c>
      <c r="J130" s="2">
        <v>111</v>
      </c>
      <c r="K130" s="2">
        <v>111</v>
      </c>
      <c r="L130" s="2">
        <v>111</v>
      </c>
      <c r="M130" s="2">
        <v>111</v>
      </c>
      <c r="N130" s="2">
        <v>111</v>
      </c>
    </row>
    <row r="131" spans="2:14" x14ac:dyDescent="0.3">
      <c r="B131" s="2" t="s">
        <v>224</v>
      </c>
      <c r="C131" s="2">
        <v>111</v>
      </c>
      <c r="D131" s="2">
        <v>111</v>
      </c>
      <c r="E131" s="2">
        <v>111</v>
      </c>
      <c r="F131" s="2">
        <v>111</v>
      </c>
      <c r="G131" s="2">
        <v>111</v>
      </c>
      <c r="H131" s="2">
        <v>111</v>
      </c>
      <c r="I131" s="2">
        <v>111</v>
      </c>
      <c r="J131" s="2">
        <v>111</v>
      </c>
      <c r="K131" s="2">
        <v>111</v>
      </c>
      <c r="L131" s="2">
        <v>111</v>
      </c>
      <c r="M131" s="2">
        <v>111</v>
      </c>
      <c r="N131" s="2">
        <v>111</v>
      </c>
    </row>
    <row r="132" spans="2:14" x14ac:dyDescent="0.3">
      <c r="B132" s="2" t="s">
        <v>225</v>
      </c>
      <c r="C132" s="2">
        <v>111</v>
      </c>
      <c r="D132" s="2">
        <v>111</v>
      </c>
      <c r="E132" s="2">
        <v>111</v>
      </c>
      <c r="F132" s="2">
        <v>111</v>
      </c>
      <c r="G132" s="2">
        <v>111</v>
      </c>
      <c r="H132" s="2">
        <v>111</v>
      </c>
      <c r="I132" s="2">
        <v>111</v>
      </c>
      <c r="J132" s="2">
        <v>111</v>
      </c>
      <c r="K132" s="2">
        <v>111</v>
      </c>
      <c r="L132" s="2">
        <v>111</v>
      </c>
      <c r="M132" s="2">
        <v>111</v>
      </c>
      <c r="N132" s="2">
        <v>111</v>
      </c>
    </row>
    <row r="133" spans="2:14" x14ac:dyDescent="0.3">
      <c r="B133" s="2" t="s">
        <v>226</v>
      </c>
      <c r="C133" s="2">
        <v>111</v>
      </c>
      <c r="D133" s="2">
        <v>111</v>
      </c>
      <c r="E133" s="2">
        <v>111</v>
      </c>
      <c r="F133" s="2">
        <v>111</v>
      </c>
      <c r="G133" s="2">
        <v>111</v>
      </c>
      <c r="H133" s="2">
        <v>111</v>
      </c>
      <c r="I133" s="2">
        <v>111</v>
      </c>
      <c r="J133" s="2">
        <v>111</v>
      </c>
      <c r="K133" s="2">
        <v>111</v>
      </c>
      <c r="L133" s="2">
        <v>111</v>
      </c>
      <c r="M133" s="2">
        <v>111</v>
      </c>
      <c r="N133" s="2">
        <v>111</v>
      </c>
    </row>
    <row r="134" spans="2:14" x14ac:dyDescent="0.3">
      <c r="B134" s="2" t="s">
        <v>227</v>
      </c>
      <c r="C134" s="2">
        <v>111</v>
      </c>
      <c r="D134" s="2">
        <v>111</v>
      </c>
      <c r="E134" s="2">
        <v>111</v>
      </c>
      <c r="F134" s="2">
        <v>111</v>
      </c>
      <c r="G134" s="2">
        <v>111</v>
      </c>
      <c r="H134" s="2">
        <v>111</v>
      </c>
      <c r="I134" s="2">
        <v>111</v>
      </c>
      <c r="J134" s="2">
        <v>111</v>
      </c>
      <c r="K134" s="2">
        <v>111</v>
      </c>
      <c r="L134" s="2">
        <v>111</v>
      </c>
      <c r="M134" s="2">
        <v>111</v>
      </c>
      <c r="N134" s="2">
        <v>111</v>
      </c>
    </row>
    <row r="135" spans="2:14" x14ac:dyDescent="0.3">
      <c r="B135" s="2" t="s">
        <v>228</v>
      </c>
      <c r="C135" s="2">
        <v>111</v>
      </c>
      <c r="D135" s="2">
        <v>111</v>
      </c>
      <c r="E135" s="2">
        <v>111</v>
      </c>
      <c r="F135" s="2">
        <v>111</v>
      </c>
      <c r="G135" s="2">
        <v>111</v>
      </c>
      <c r="H135" s="2">
        <v>111</v>
      </c>
      <c r="I135" s="2">
        <v>111</v>
      </c>
      <c r="J135" s="2">
        <v>111</v>
      </c>
      <c r="K135" s="2">
        <v>111</v>
      </c>
      <c r="L135" s="2">
        <v>111</v>
      </c>
      <c r="M135" s="2">
        <v>111</v>
      </c>
      <c r="N135" s="2">
        <v>111</v>
      </c>
    </row>
    <row r="136" spans="2:14" x14ac:dyDescent="0.3">
      <c r="B136" s="2" t="s">
        <v>229</v>
      </c>
      <c r="C136" s="2">
        <v>111</v>
      </c>
      <c r="D136" s="2">
        <v>111</v>
      </c>
      <c r="E136" s="2">
        <v>111</v>
      </c>
      <c r="F136" s="2">
        <v>111</v>
      </c>
      <c r="G136" s="2">
        <v>111</v>
      </c>
      <c r="H136" s="2">
        <v>111</v>
      </c>
      <c r="I136" s="2">
        <v>111</v>
      </c>
      <c r="J136" s="2">
        <v>111</v>
      </c>
      <c r="K136" s="2">
        <v>111</v>
      </c>
      <c r="L136" s="2">
        <v>111</v>
      </c>
      <c r="M136" s="2">
        <v>111</v>
      </c>
      <c r="N136" s="2">
        <v>111</v>
      </c>
    </row>
    <row r="137" spans="2:14" x14ac:dyDescent="0.3">
      <c r="B137" s="2" t="s">
        <v>230</v>
      </c>
      <c r="C137" s="2">
        <v>111</v>
      </c>
      <c r="D137" s="2">
        <v>111</v>
      </c>
      <c r="E137" s="2">
        <v>111</v>
      </c>
      <c r="F137" s="2">
        <v>111</v>
      </c>
      <c r="G137" s="2">
        <v>111</v>
      </c>
      <c r="H137" s="2">
        <v>111</v>
      </c>
      <c r="I137" s="2">
        <v>111</v>
      </c>
      <c r="J137" s="2">
        <v>111</v>
      </c>
      <c r="K137" s="2">
        <v>111</v>
      </c>
      <c r="L137" s="2">
        <v>111</v>
      </c>
      <c r="M137" s="2">
        <v>111</v>
      </c>
      <c r="N137" s="2">
        <v>111</v>
      </c>
    </row>
    <row r="138" spans="2:14" x14ac:dyDescent="0.3">
      <c r="B138" s="2" t="s">
        <v>231</v>
      </c>
      <c r="C138" s="2">
        <v>111</v>
      </c>
      <c r="D138" s="2">
        <v>111</v>
      </c>
      <c r="E138" s="2">
        <v>111</v>
      </c>
      <c r="F138" s="2">
        <v>111</v>
      </c>
      <c r="G138" s="2">
        <v>111</v>
      </c>
      <c r="H138" s="2">
        <v>111</v>
      </c>
      <c r="I138" s="2">
        <v>111</v>
      </c>
      <c r="J138" s="2">
        <v>111</v>
      </c>
      <c r="K138" s="2">
        <v>111</v>
      </c>
      <c r="L138" s="2">
        <v>111</v>
      </c>
      <c r="M138" s="2">
        <v>111</v>
      </c>
      <c r="N138" s="2">
        <v>111</v>
      </c>
    </row>
    <row r="139" spans="2:14" x14ac:dyDescent="0.3">
      <c r="B139" s="2" t="s">
        <v>232</v>
      </c>
      <c r="C139" s="2">
        <v>111</v>
      </c>
      <c r="D139" s="2">
        <v>111</v>
      </c>
      <c r="E139" s="2">
        <v>111</v>
      </c>
      <c r="F139" s="2">
        <v>111</v>
      </c>
      <c r="G139" s="2">
        <v>111</v>
      </c>
      <c r="H139" s="2">
        <v>111</v>
      </c>
      <c r="I139" s="2">
        <v>111</v>
      </c>
      <c r="J139" s="2">
        <v>111</v>
      </c>
      <c r="K139" s="2">
        <v>111</v>
      </c>
      <c r="L139" s="2">
        <v>111</v>
      </c>
      <c r="M139" s="2">
        <v>111</v>
      </c>
      <c r="N139" s="2">
        <v>111</v>
      </c>
    </row>
    <row r="140" spans="2:14" x14ac:dyDescent="0.3">
      <c r="B140" s="2" t="s">
        <v>233</v>
      </c>
      <c r="C140" s="2">
        <v>111</v>
      </c>
      <c r="D140" s="2">
        <v>111</v>
      </c>
      <c r="E140" s="2">
        <v>111</v>
      </c>
      <c r="F140" s="2">
        <v>111</v>
      </c>
      <c r="G140" s="2">
        <v>111</v>
      </c>
      <c r="H140" s="2">
        <v>111</v>
      </c>
      <c r="I140" s="2">
        <v>111</v>
      </c>
      <c r="J140" s="2">
        <v>111</v>
      </c>
      <c r="K140" s="2">
        <v>111</v>
      </c>
      <c r="L140" s="2">
        <v>111</v>
      </c>
      <c r="M140" s="2">
        <v>111</v>
      </c>
      <c r="N140" s="2">
        <v>111</v>
      </c>
    </row>
    <row r="141" spans="2:14" x14ac:dyDescent="0.3">
      <c r="B141" s="2" t="s">
        <v>234</v>
      </c>
      <c r="C141" s="2">
        <v>111</v>
      </c>
      <c r="D141" s="2">
        <v>111</v>
      </c>
      <c r="E141" s="2">
        <v>111</v>
      </c>
      <c r="F141" s="2">
        <v>111</v>
      </c>
      <c r="G141" s="2">
        <v>111</v>
      </c>
      <c r="H141" s="2">
        <v>111</v>
      </c>
      <c r="I141" s="2">
        <v>111</v>
      </c>
      <c r="J141" s="2">
        <v>111</v>
      </c>
      <c r="K141" s="2">
        <v>111</v>
      </c>
      <c r="L141" s="2">
        <v>111</v>
      </c>
      <c r="M141" s="2">
        <v>111</v>
      </c>
      <c r="N141" s="2">
        <v>111</v>
      </c>
    </row>
    <row r="142" spans="2:14" x14ac:dyDescent="0.3">
      <c r="B142" s="2" t="s">
        <v>235</v>
      </c>
      <c r="C142" s="2">
        <v>111</v>
      </c>
      <c r="D142" s="2">
        <v>111</v>
      </c>
      <c r="E142" s="2">
        <v>111</v>
      </c>
      <c r="F142" s="2">
        <v>111</v>
      </c>
      <c r="G142" s="2">
        <v>111</v>
      </c>
      <c r="H142" s="2">
        <v>111</v>
      </c>
      <c r="I142" s="2">
        <v>111</v>
      </c>
      <c r="J142" s="2">
        <v>111</v>
      </c>
      <c r="K142" s="2">
        <v>111</v>
      </c>
      <c r="L142" s="2">
        <v>111</v>
      </c>
      <c r="M142" s="2">
        <v>111</v>
      </c>
      <c r="N142" s="2">
        <v>111</v>
      </c>
    </row>
    <row r="143" spans="2:14" x14ac:dyDescent="0.3">
      <c r="B143" s="2" t="s">
        <v>236</v>
      </c>
      <c r="C143" s="2">
        <v>111</v>
      </c>
      <c r="D143" s="2">
        <v>111</v>
      </c>
      <c r="E143" s="2">
        <v>111</v>
      </c>
      <c r="F143" s="2">
        <v>111</v>
      </c>
      <c r="G143" s="2">
        <v>111</v>
      </c>
      <c r="H143" s="2">
        <v>111</v>
      </c>
      <c r="I143" s="2">
        <v>111</v>
      </c>
      <c r="J143" s="2">
        <v>111</v>
      </c>
      <c r="K143" s="2">
        <v>111</v>
      </c>
      <c r="L143" s="2">
        <v>111</v>
      </c>
      <c r="M143" s="2">
        <v>111</v>
      </c>
      <c r="N143" s="2">
        <v>111</v>
      </c>
    </row>
    <row r="144" spans="2:14" x14ac:dyDescent="0.3">
      <c r="B144" s="2" t="s">
        <v>237</v>
      </c>
      <c r="C144" s="2">
        <v>111</v>
      </c>
      <c r="D144" s="2">
        <v>111</v>
      </c>
      <c r="E144" s="2">
        <v>111</v>
      </c>
      <c r="F144" s="2">
        <v>111</v>
      </c>
      <c r="G144" s="2">
        <v>111</v>
      </c>
      <c r="H144" s="2">
        <v>111</v>
      </c>
      <c r="I144" s="2">
        <v>111</v>
      </c>
      <c r="J144" s="2">
        <v>111</v>
      </c>
      <c r="K144" s="2">
        <v>111</v>
      </c>
      <c r="L144" s="2">
        <v>111</v>
      </c>
      <c r="M144" s="2">
        <v>111</v>
      </c>
      <c r="N144" s="2">
        <v>111</v>
      </c>
    </row>
    <row r="145" spans="2:14" x14ac:dyDescent="0.3">
      <c r="B145" s="2" t="s">
        <v>238</v>
      </c>
      <c r="C145" s="2">
        <v>111</v>
      </c>
      <c r="D145" s="2">
        <v>111</v>
      </c>
      <c r="E145" s="2">
        <v>111</v>
      </c>
      <c r="F145" s="2">
        <v>111</v>
      </c>
      <c r="G145" s="2">
        <v>111</v>
      </c>
      <c r="H145" s="2">
        <v>111</v>
      </c>
      <c r="I145" s="2">
        <v>111</v>
      </c>
      <c r="J145" s="2">
        <v>111</v>
      </c>
      <c r="K145" s="2">
        <v>111</v>
      </c>
      <c r="L145" s="2">
        <v>111</v>
      </c>
      <c r="M145" s="2">
        <v>111</v>
      </c>
      <c r="N145" s="2">
        <v>111</v>
      </c>
    </row>
    <row r="146" spans="2:14" x14ac:dyDescent="0.3">
      <c r="B146" s="2" t="s">
        <v>239</v>
      </c>
      <c r="C146" s="2">
        <v>111</v>
      </c>
      <c r="D146" s="2">
        <v>111</v>
      </c>
      <c r="E146" s="2">
        <v>111</v>
      </c>
      <c r="F146" s="2">
        <v>111</v>
      </c>
      <c r="G146" s="2">
        <v>111</v>
      </c>
      <c r="H146" s="2">
        <v>111</v>
      </c>
      <c r="I146" s="2">
        <v>111</v>
      </c>
      <c r="J146" s="2">
        <v>111</v>
      </c>
      <c r="K146" s="2">
        <v>111</v>
      </c>
      <c r="L146" s="2">
        <v>111</v>
      </c>
      <c r="M146" s="2">
        <v>111</v>
      </c>
      <c r="N146" s="2">
        <v>111</v>
      </c>
    </row>
  </sheetData>
  <mergeCells count="1">
    <mergeCell ref="C1:N1"/>
  </mergeCells>
  <phoneticPr fontId="2" type="noConversion"/>
  <hyperlinks>
    <hyperlink ref="A1" location="Contenido!A1" display="Contenido" xr:uid="{54DCBD61-1086-4A58-ADBD-EAE5101D6FF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E238-3652-4893-B128-E5AC138751A2}">
  <dimension ref="A1:N8"/>
  <sheetViews>
    <sheetView workbookViewId="0">
      <selection activeCell="N8" sqref="N8"/>
    </sheetView>
  </sheetViews>
  <sheetFormatPr baseColWidth="10" defaultColWidth="11.44140625" defaultRowHeight="14.4" x14ac:dyDescent="0.3"/>
  <cols>
    <col min="2" max="2" width="33.33203125" bestFit="1" customWidth="1"/>
    <col min="3" max="14" width="8.33203125" customWidth="1"/>
  </cols>
  <sheetData>
    <row r="1" spans="1:14" x14ac:dyDescent="0.3">
      <c r="A1" s="4" t="s">
        <v>32</v>
      </c>
      <c r="C1" s="49" t="s">
        <v>246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x14ac:dyDescent="0.3">
      <c r="C2" s="5" t="s">
        <v>40</v>
      </c>
      <c r="D2" s="5" t="s">
        <v>41</v>
      </c>
      <c r="E2" s="5" t="s">
        <v>42</v>
      </c>
      <c r="F2" s="5" t="s">
        <v>79</v>
      </c>
      <c r="G2" s="5" t="s">
        <v>80</v>
      </c>
      <c r="H2" s="5" t="s">
        <v>81</v>
      </c>
      <c r="I2" s="5" t="s">
        <v>82</v>
      </c>
      <c r="J2" s="5" t="s">
        <v>83</v>
      </c>
      <c r="K2" s="5" t="s">
        <v>84</v>
      </c>
      <c r="L2" s="5" t="s">
        <v>85</v>
      </c>
      <c r="M2" s="5" t="s">
        <v>86</v>
      </c>
      <c r="N2" s="5" t="s">
        <v>87</v>
      </c>
    </row>
    <row r="3" spans="1:14" x14ac:dyDescent="0.3">
      <c r="B3" s="2" t="s">
        <v>240</v>
      </c>
      <c r="C3" s="2">
        <v>500</v>
      </c>
      <c r="D3" s="2">
        <v>500</v>
      </c>
      <c r="E3" s="2">
        <v>500</v>
      </c>
      <c r="F3" s="2">
        <v>500</v>
      </c>
      <c r="G3" s="2">
        <v>500</v>
      </c>
      <c r="H3" s="2">
        <v>500</v>
      </c>
      <c r="I3" s="2">
        <v>500</v>
      </c>
      <c r="J3" s="2">
        <v>500</v>
      </c>
      <c r="K3" s="2">
        <v>500</v>
      </c>
      <c r="L3" s="2">
        <v>500</v>
      </c>
      <c r="M3" s="2">
        <v>500</v>
      </c>
      <c r="N3" s="2">
        <v>500</v>
      </c>
    </row>
    <row r="4" spans="1:14" x14ac:dyDescent="0.3">
      <c r="B4" s="2" t="s">
        <v>241</v>
      </c>
      <c r="C4" s="2">
        <v>369</v>
      </c>
      <c r="D4" s="2">
        <v>369</v>
      </c>
      <c r="E4" s="2">
        <v>369</v>
      </c>
      <c r="F4" s="2">
        <v>369</v>
      </c>
      <c r="G4" s="2">
        <v>369</v>
      </c>
      <c r="H4" s="2">
        <v>369</v>
      </c>
      <c r="I4" s="2">
        <v>369</v>
      </c>
      <c r="J4" s="2">
        <v>369</v>
      </c>
      <c r="K4" s="2">
        <v>369</v>
      </c>
      <c r="L4" s="2">
        <v>369</v>
      </c>
      <c r="M4" s="2">
        <v>369</v>
      </c>
      <c r="N4" s="2">
        <v>369</v>
      </c>
    </row>
    <row r="5" spans="1:14" x14ac:dyDescent="0.3">
      <c r="B5" s="2" t="s">
        <v>242</v>
      </c>
      <c r="C5" s="2">
        <v>260</v>
      </c>
      <c r="D5" s="2">
        <v>260</v>
      </c>
      <c r="E5" s="2">
        <v>260</v>
      </c>
      <c r="F5" s="2">
        <v>260</v>
      </c>
      <c r="G5" s="2">
        <v>260</v>
      </c>
      <c r="H5" s="2">
        <v>260</v>
      </c>
      <c r="I5" s="2">
        <v>260</v>
      </c>
      <c r="J5" s="2">
        <v>260</v>
      </c>
      <c r="K5" s="2">
        <v>260</v>
      </c>
      <c r="L5" s="2">
        <v>260</v>
      </c>
      <c r="M5" s="2">
        <v>260</v>
      </c>
      <c r="N5" s="2">
        <v>260</v>
      </c>
    </row>
    <row r="6" spans="1:14" x14ac:dyDescent="0.3">
      <c r="B6" s="2" t="s">
        <v>243</v>
      </c>
      <c r="C6" s="2">
        <v>500</v>
      </c>
      <c r="D6" s="2">
        <v>500</v>
      </c>
      <c r="E6" s="2">
        <v>500</v>
      </c>
      <c r="F6" s="2">
        <v>500</v>
      </c>
      <c r="G6" s="2">
        <v>500</v>
      </c>
      <c r="H6" s="2">
        <v>500</v>
      </c>
      <c r="I6" s="2">
        <v>500</v>
      </c>
      <c r="J6" s="2">
        <v>500</v>
      </c>
      <c r="K6" s="2">
        <v>500</v>
      </c>
      <c r="L6" s="2">
        <v>500</v>
      </c>
      <c r="M6" s="2">
        <v>500</v>
      </c>
      <c r="N6" s="2">
        <v>500</v>
      </c>
    </row>
    <row r="7" spans="1:14" x14ac:dyDescent="0.3">
      <c r="B7" s="2" t="s">
        <v>244</v>
      </c>
      <c r="C7" s="2">
        <v>369</v>
      </c>
      <c r="D7" s="2">
        <v>369</v>
      </c>
      <c r="E7" s="2">
        <v>369</v>
      </c>
      <c r="F7" s="2">
        <v>369</v>
      </c>
      <c r="G7" s="2">
        <v>369</v>
      </c>
      <c r="H7" s="2">
        <v>369</v>
      </c>
      <c r="I7" s="2">
        <v>369</v>
      </c>
      <c r="J7" s="2">
        <v>369</v>
      </c>
      <c r="K7" s="2">
        <v>369</v>
      </c>
      <c r="L7" s="2">
        <v>369</v>
      </c>
      <c r="M7" s="2">
        <v>369</v>
      </c>
      <c r="N7" s="2">
        <v>369</v>
      </c>
    </row>
    <row r="8" spans="1:14" x14ac:dyDescent="0.3">
      <c r="B8" s="2" t="s">
        <v>245</v>
      </c>
      <c r="C8" s="2">
        <v>260</v>
      </c>
      <c r="D8" s="2">
        <v>260</v>
      </c>
      <c r="E8" s="2">
        <v>260</v>
      </c>
      <c r="F8" s="2">
        <v>260</v>
      </c>
      <c r="G8" s="2">
        <v>260</v>
      </c>
      <c r="H8" s="2">
        <v>260</v>
      </c>
      <c r="I8" s="2">
        <v>260</v>
      </c>
      <c r="J8" s="2">
        <v>260</v>
      </c>
      <c r="K8" s="2">
        <v>260</v>
      </c>
      <c r="L8" s="2">
        <v>260</v>
      </c>
      <c r="M8" s="2">
        <v>260</v>
      </c>
      <c r="N8" s="2">
        <v>260</v>
      </c>
    </row>
  </sheetData>
  <mergeCells count="1">
    <mergeCell ref="C1:N1"/>
  </mergeCells>
  <phoneticPr fontId="2" type="noConversion"/>
  <hyperlinks>
    <hyperlink ref="A1" location="Contenido!A1" display="Contenido" xr:uid="{39393DD2-42F6-42FC-B03E-A68A09411FBC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9D759-E34D-4537-9175-0505AAACE4D1}">
  <sheetPr>
    <tabColor theme="9" tint="-0.249977111117893"/>
  </sheetPr>
  <dimension ref="A1:L27"/>
  <sheetViews>
    <sheetView topLeftCell="B3" workbookViewId="0">
      <selection activeCell="L9" sqref="L9"/>
    </sheetView>
  </sheetViews>
  <sheetFormatPr baseColWidth="10" defaultColWidth="11.44140625" defaultRowHeight="14.4" x14ac:dyDescent="0.3"/>
  <sheetData>
    <row r="1" spans="1:12" x14ac:dyDescent="0.3">
      <c r="A1" s="4" t="s">
        <v>43</v>
      </c>
    </row>
    <row r="3" spans="1:12" ht="41.55" x14ac:dyDescent="0.3">
      <c r="E3" s="26" t="s">
        <v>384</v>
      </c>
      <c r="F3" s="26" t="s">
        <v>385</v>
      </c>
      <c r="G3" s="26" t="s">
        <v>386</v>
      </c>
      <c r="H3" s="26" t="s">
        <v>387</v>
      </c>
    </row>
    <row r="4" spans="1:12" ht="15" x14ac:dyDescent="0.3">
      <c r="B4">
        <v>1</v>
      </c>
      <c r="C4" s="27" t="s">
        <v>259</v>
      </c>
      <c r="D4" t="s">
        <v>260</v>
      </c>
      <c r="E4">
        <v>1130</v>
      </c>
      <c r="F4" s="28">
        <v>0</v>
      </c>
      <c r="G4">
        <f t="shared" ref="G4:G26" si="0">+E4*30</f>
        <v>33900</v>
      </c>
      <c r="I4">
        <f>+SUM(G4:H4)</f>
        <v>33900</v>
      </c>
      <c r="J4" s="15"/>
      <c r="K4" s="15">
        <f>+SUM(G4:G12)</f>
        <v>42600</v>
      </c>
      <c r="L4" s="15">
        <f>+SUM(H4:H12)</f>
        <v>5625</v>
      </c>
    </row>
    <row r="5" spans="1:12" ht="15" x14ac:dyDescent="0.3">
      <c r="B5">
        <v>2</v>
      </c>
      <c r="C5" s="27" t="s">
        <v>261</v>
      </c>
      <c r="D5" t="s">
        <v>260</v>
      </c>
      <c r="E5">
        <v>200</v>
      </c>
      <c r="F5">
        <v>0</v>
      </c>
      <c r="G5">
        <f t="shared" si="0"/>
        <v>6000</v>
      </c>
      <c r="I5">
        <f t="shared" ref="I5:I27" si="1">+SUM(G5:H5)</f>
        <v>6000</v>
      </c>
      <c r="K5" s="15">
        <f>+SUM(G13:G23)</f>
        <v>34500</v>
      </c>
      <c r="L5" s="15">
        <f>+SUM(H13:H23)</f>
        <v>23100</v>
      </c>
    </row>
    <row r="6" spans="1:12" ht="15" x14ac:dyDescent="0.3">
      <c r="B6">
        <v>3</v>
      </c>
      <c r="C6" s="27" t="s">
        <v>262</v>
      </c>
      <c r="D6" t="s">
        <v>260</v>
      </c>
      <c r="E6">
        <v>60</v>
      </c>
      <c r="F6">
        <v>0</v>
      </c>
      <c r="G6">
        <f t="shared" si="0"/>
        <v>1800</v>
      </c>
      <c r="I6">
        <f t="shared" si="1"/>
        <v>1800</v>
      </c>
      <c r="K6" s="15">
        <f>+SUM(G24:G27)</f>
        <v>780</v>
      </c>
      <c r="L6" s="15">
        <f>+SUM(H24:H27)</f>
        <v>4410</v>
      </c>
    </row>
    <row r="7" spans="1:12" ht="15" x14ac:dyDescent="0.3">
      <c r="B7">
        <v>4</v>
      </c>
      <c r="C7" s="27" t="s">
        <v>263</v>
      </c>
      <c r="D7" t="s">
        <v>264</v>
      </c>
      <c r="E7">
        <v>30</v>
      </c>
      <c r="F7">
        <v>0</v>
      </c>
      <c r="G7">
        <f t="shared" si="0"/>
        <v>900</v>
      </c>
      <c r="I7">
        <f t="shared" si="1"/>
        <v>900</v>
      </c>
    </row>
    <row r="8" spans="1:12" ht="15" x14ac:dyDescent="0.3">
      <c r="B8">
        <v>5</v>
      </c>
      <c r="C8" s="27" t="s">
        <v>265</v>
      </c>
      <c r="D8" t="s">
        <v>264</v>
      </c>
      <c r="E8">
        <v>0</v>
      </c>
      <c r="F8">
        <v>28.5</v>
      </c>
      <c r="H8">
        <f t="shared" ref="H8:H27" si="2">+F8*30</f>
        <v>855</v>
      </c>
      <c r="I8">
        <f t="shared" si="1"/>
        <v>855</v>
      </c>
    </row>
    <row r="9" spans="1:12" ht="15" x14ac:dyDescent="0.3">
      <c r="B9">
        <v>6</v>
      </c>
      <c r="C9" s="27" t="s">
        <v>266</v>
      </c>
      <c r="D9" t="s">
        <v>264</v>
      </c>
      <c r="E9">
        <v>0</v>
      </c>
      <c r="F9">
        <v>21</v>
      </c>
      <c r="H9">
        <f t="shared" si="2"/>
        <v>630</v>
      </c>
      <c r="I9">
        <f t="shared" si="1"/>
        <v>630</v>
      </c>
    </row>
    <row r="10" spans="1:12" ht="15" x14ac:dyDescent="0.3">
      <c r="B10">
        <v>7</v>
      </c>
      <c r="C10" s="27" t="s">
        <v>267</v>
      </c>
      <c r="D10" t="s">
        <v>264</v>
      </c>
      <c r="E10">
        <v>0</v>
      </c>
      <c r="F10">
        <v>34</v>
      </c>
      <c r="H10">
        <f t="shared" si="2"/>
        <v>1020</v>
      </c>
      <c r="I10">
        <f t="shared" si="1"/>
        <v>1020</v>
      </c>
    </row>
    <row r="11" spans="1:12" ht="15" x14ac:dyDescent="0.3">
      <c r="B11">
        <v>8</v>
      </c>
      <c r="C11" s="27" t="s">
        <v>268</v>
      </c>
      <c r="D11" t="s">
        <v>264</v>
      </c>
      <c r="E11">
        <v>0</v>
      </c>
      <c r="F11">
        <v>90</v>
      </c>
      <c r="H11">
        <f t="shared" si="2"/>
        <v>2700</v>
      </c>
      <c r="I11">
        <f t="shared" si="1"/>
        <v>2700</v>
      </c>
    </row>
    <row r="12" spans="1:12" ht="15" x14ac:dyDescent="0.3">
      <c r="B12">
        <v>9</v>
      </c>
      <c r="C12" s="27" t="s">
        <v>269</v>
      </c>
      <c r="D12" t="s">
        <v>270</v>
      </c>
      <c r="E12">
        <v>0</v>
      </c>
      <c r="F12">
        <v>14</v>
      </c>
      <c r="H12">
        <f t="shared" si="2"/>
        <v>420</v>
      </c>
      <c r="I12">
        <f t="shared" si="1"/>
        <v>420</v>
      </c>
    </row>
    <row r="13" spans="1:12" ht="15" x14ac:dyDescent="0.3">
      <c r="B13">
        <v>10</v>
      </c>
      <c r="C13" s="27" t="s">
        <v>271</v>
      </c>
      <c r="D13" t="s">
        <v>270</v>
      </c>
      <c r="E13">
        <v>0</v>
      </c>
      <c r="F13">
        <v>120</v>
      </c>
      <c r="H13">
        <f t="shared" si="2"/>
        <v>3600</v>
      </c>
      <c r="I13">
        <f t="shared" si="1"/>
        <v>3600</v>
      </c>
    </row>
    <row r="14" spans="1:12" ht="15" x14ac:dyDescent="0.3">
      <c r="B14">
        <v>11</v>
      </c>
      <c r="C14" s="27" t="s">
        <v>272</v>
      </c>
      <c r="D14" t="s">
        <v>270</v>
      </c>
      <c r="E14">
        <v>150</v>
      </c>
      <c r="F14">
        <v>150</v>
      </c>
      <c r="G14">
        <f t="shared" si="0"/>
        <v>4500</v>
      </c>
      <c r="H14">
        <f t="shared" si="2"/>
        <v>4500</v>
      </c>
      <c r="I14">
        <f t="shared" si="1"/>
        <v>9000</v>
      </c>
    </row>
    <row r="15" spans="1:12" ht="15" x14ac:dyDescent="0.3">
      <c r="B15">
        <v>12</v>
      </c>
      <c r="C15" s="27" t="s">
        <v>273</v>
      </c>
      <c r="D15" t="s">
        <v>270</v>
      </c>
      <c r="E15">
        <v>390</v>
      </c>
      <c r="F15">
        <v>0</v>
      </c>
      <c r="G15">
        <f t="shared" si="0"/>
        <v>11700</v>
      </c>
      <c r="I15">
        <f t="shared" si="1"/>
        <v>11700</v>
      </c>
    </row>
    <row r="16" spans="1:12" ht="15" x14ac:dyDescent="0.3">
      <c r="B16">
        <v>13</v>
      </c>
      <c r="C16" s="27" t="s">
        <v>274</v>
      </c>
      <c r="D16" t="s">
        <v>270</v>
      </c>
      <c r="E16">
        <v>0</v>
      </c>
      <c r="F16">
        <v>150</v>
      </c>
      <c r="H16">
        <f t="shared" si="2"/>
        <v>4500</v>
      </c>
      <c r="I16">
        <f t="shared" si="1"/>
        <v>4500</v>
      </c>
    </row>
    <row r="17" spans="2:9" x14ac:dyDescent="0.3">
      <c r="B17">
        <v>14</v>
      </c>
      <c r="C17" s="27" t="s">
        <v>275</v>
      </c>
      <c r="D17" t="s">
        <v>270</v>
      </c>
      <c r="E17">
        <v>0</v>
      </c>
      <c r="F17">
        <v>30</v>
      </c>
      <c r="H17">
        <f t="shared" si="2"/>
        <v>900</v>
      </c>
      <c r="I17">
        <f t="shared" si="1"/>
        <v>900</v>
      </c>
    </row>
    <row r="18" spans="2:9" ht="15" x14ac:dyDescent="0.3">
      <c r="B18">
        <v>15</v>
      </c>
      <c r="C18" s="27" t="s">
        <v>276</v>
      </c>
      <c r="D18" t="s">
        <v>270</v>
      </c>
      <c r="E18">
        <v>0</v>
      </c>
      <c r="F18">
        <v>70</v>
      </c>
      <c r="H18">
        <f t="shared" si="2"/>
        <v>2100</v>
      </c>
      <c r="I18">
        <f t="shared" si="1"/>
        <v>2100</v>
      </c>
    </row>
    <row r="19" spans="2:9" ht="15" x14ac:dyDescent="0.3">
      <c r="B19">
        <v>16</v>
      </c>
      <c r="C19" s="27" t="s">
        <v>277</v>
      </c>
      <c r="D19" t="s">
        <v>278</v>
      </c>
      <c r="E19">
        <v>110</v>
      </c>
      <c r="F19">
        <v>0</v>
      </c>
      <c r="G19">
        <f t="shared" si="0"/>
        <v>3300</v>
      </c>
      <c r="I19">
        <f t="shared" si="1"/>
        <v>3300</v>
      </c>
    </row>
    <row r="20" spans="2:9" ht="15" x14ac:dyDescent="0.3">
      <c r="B20">
        <v>17</v>
      </c>
      <c r="C20" s="27" t="s">
        <v>279</v>
      </c>
      <c r="D20" t="s">
        <v>278</v>
      </c>
      <c r="E20">
        <v>0</v>
      </c>
      <c r="F20">
        <v>128</v>
      </c>
      <c r="H20">
        <f t="shared" si="2"/>
        <v>3840</v>
      </c>
      <c r="I20">
        <f t="shared" si="1"/>
        <v>3840</v>
      </c>
    </row>
    <row r="21" spans="2:9" ht="15" x14ac:dyDescent="0.3">
      <c r="B21">
        <v>18</v>
      </c>
      <c r="C21" s="27" t="s">
        <v>280</v>
      </c>
      <c r="D21" t="s">
        <v>278</v>
      </c>
      <c r="E21">
        <v>0</v>
      </c>
      <c r="F21">
        <v>80</v>
      </c>
      <c r="H21">
        <f t="shared" si="2"/>
        <v>2400</v>
      </c>
      <c r="I21">
        <f t="shared" si="1"/>
        <v>2400</v>
      </c>
    </row>
    <row r="22" spans="2:9" x14ac:dyDescent="0.3">
      <c r="B22">
        <v>19</v>
      </c>
      <c r="C22" s="27" t="s">
        <v>281</v>
      </c>
      <c r="D22" t="s">
        <v>282</v>
      </c>
      <c r="E22">
        <v>0</v>
      </c>
      <c r="F22">
        <v>42</v>
      </c>
      <c r="H22">
        <f t="shared" si="2"/>
        <v>1260</v>
      </c>
      <c r="I22">
        <f t="shared" si="1"/>
        <v>1260</v>
      </c>
    </row>
    <row r="23" spans="2:9" ht="15" x14ac:dyDescent="0.3">
      <c r="B23">
        <v>20</v>
      </c>
      <c r="C23" s="27" t="s">
        <v>283</v>
      </c>
      <c r="D23" t="s">
        <v>282</v>
      </c>
      <c r="E23">
        <v>500</v>
      </c>
      <c r="F23">
        <v>0</v>
      </c>
      <c r="G23">
        <f t="shared" si="0"/>
        <v>15000</v>
      </c>
      <c r="I23">
        <f t="shared" si="1"/>
        <v>15000</v>
      </c>
    </row>
    <row r="24" spans="2:9" ht="15" x14ac:dyDescent="0.3">
      <c r="B24">
        <v>21</v>
      </c>
      <c r="C24" s="27" t="s">
        <v>284</v>
      </c>
      <c r="D24" t="s">
        <v>282</v>
      </c>
      <c r="E24">
        <v>16</v>
      </c>
      <c r="F24">
        <v>40</v>
      </c>
      <c r="G24">
        <f t="shared" si="0"/>
        <v>480</v>
      </c>
      <c r="H24">
        <f t="shared" si="2"/>
        <v>1200</v>
      </c>
      <c r="I24">
        <f t="shared" si="1"/>
        <v>1680</v>
      </c>
    </row>
    <row r="25" spans="2:9" ht="15" x14ac:dyDescent="0.3">
      <c r="B25">
        <v>22</v>
      </c>
      <c r="C25" s="27" t="s">
        <v>285</v>
      </c>
      <c r="D25" t="s">
        <v>282</v>
      </c>
      <c r="E25">
        <v>0</v>
      </c>
      <c r="F25">
        <v>12</v>
      </c>
      <c r="H25">
        <f t="shared" si="2"/>
        <v>360</v>
      </c>
      <c r="I25">
        <f t="shared" si="1"/>
        <v>360</v>
      </c>
    </row>
    <row r="26" spans="2:9" ht="15" x14ac:dyDescent="0.3">
      <c r="B26">
        <v>23</v>
      </c>
      <c r="C26" s="27" t="s">
        <v>286</v>
      </c>
      <c r="D26" t="s">
        <v>282</v>
      </c>
      <c r="E26">
        <v>10</v>
      </c>
      <c r="F26">
        <v>80</v>
      </c>
      <c r="G26">
        <f t="shared" si="0"/>
        <v>300</v>
      </c>
      <c r="H26">
        <f t="shared" si="2"/>
        <v>2400</v>
      </c>
      <c r="I26">
        <f t="shared" si="1"/>
        <v>2700</v>
      </c>
    </row>
    <row r="27" spans="2:9" ht="15" x14ac:dyDescent="0.3">
      <c r="B27">
        <v>24</v>
      </c>
      <c r="C27" s="27" t="s">
        <v>287</v>
      </c>
      <c r="D27" t="s">
        <v>288</v>
      </c>
      <c r="E27">
        <v>0</v>
      </c>
      <c r="F27">
        <v>15</v>
      </c>
      <c r="H27">
        <f t="shared" si="2"/>
        <v>450</v>
      </c>
      <c r="I27">
        <f t="shared" si="1"/>
        <v>450</v>
      </c>
    </row>
  </sheetData>
  <hyperlinks>
    <hyperlink ref="A1" location="Contenido!A1" display="contenido" xr:uid="{83503623-E51A-404E-83C9-10A94DC7FCE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D5A38-12B5-4897-B1E4-AB10DBA59F66}">
  <dimension ref="A1:Q50"/>
  <sheetViews>
    <sheetView topLeftCell="A26" workbookViewId="0">
      <selection activeCell="Q31" sqref="Q31"/>
    </sheetView>
  </sheetViews>
  <sheetFormatPr baseColWidth="10" defaultColWidth="11.44140625" defaultRowHeight="14.4" x14ac:dyDescent="0.3"/>
  <cols>
    <col min="2" max="2" width="24.109375" customWidth="1"/>
    <col min="3" max="14" width="8.21875" customWidth="1"/>
    <col min="15" max="16" width="5.33203125" customWidth="1"/>
    <col min="17" max="17" width="6" bestFit="1" customWidth="1"/>
    <col min="18" max="27" width="5.33203125" customWidth="1"/>
    <col min="28" max="29" width="6.5546875" customWidth="1"/>
  </cols>
  <sheetData>
    <row r="1" spans="1:17" x14ac:dyDescent="0.3">
      <c r="A1" s="4" t="s">
        <v>32</v>
      </c>
      <c r="B1" s="47" t="s">
        <v>388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7" x14ac:dyDescent="0.3">
      <c r="C2" s="2" t="s">
        <v>40</v>
      </c>
      <c r="D2" s="2" t="s">
        <v>41</v>
      </c>
      <c r="E2" s="2" t="s">
        <v>42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85</v>
      </c>
      <c r="M2" s="2" t="s">
        <v>86</v>
      </c>
      <c r="N2" s="2" t="s">
        <v>87</v>
      </c>
    </row>
    <row r="3" spans="1:17" x14ac:dyDescent="0.3">
      <c r="B3" s="2" t="s">
        <v>290</v>
      </c>
      <c r="C3" s="2">
        <v>33900</v>
      </c>
      <c r="D3" s="2">
        <v>33900</v>
      </c>
      <c r="E3" s="2">
        <v>33900</v>
      </c>
      <c r="F3" s="2">
        <v>33900</v>
      </c>
      <c r="G3" s="2">
        <v>33900</v>
      </c>
      <c r="H3" s="2">
        <v>33900</v>
      </c>
      <c r="I3" s="2">
        <v>33900</v>
      </c>
      <c r="J3" s="2">
        <v>33900</v>
      </c>
      <c r="K3" s="2">
        <v>33900</v>
      </c>
      <c r="L3" s="2">
        <v>33900</v>
      </c>
      <c r="M3" s="2">
        <v>33900</v>
      </c>
      <c r="N3" s="2">
        <v>33900</v>
      </c>
    </row>
    <row r="4" spans="1:17" x14ac:dyDescent="0.3">
      <c r="B4" s="2" t="s">
        <v>291</v>
      </c>
      <c r="C4" s="2">
        <v>6000</v>
      </c>
      <c r="D4" s="2">
        <v>6000</v>
      </c>
      <c r="E4" s="2">
        <v>6000</v>
      </c>
      <c r="F4" s="2">
        <v>6000</v>
      </c>
      <c r="G4" s="2">
        <v>6000</v>
      </c>
      <c r="H4" s="2">
        <v>6000</v>
      </c>
      <c r="I4" s="2">
        <v>6000</v>
      </c>
      <c r="J4" s="2">
        <v>6000</v>
      </c>
      <c r="K4" s="2">
        <v>6000</v>
      </c>
      <c r="L4" s="2">
        <v>6000</v>
      </c>
      <c r="M4" s="2">
        <v>6000</v>
      </c>
      <c r="N4" s="2">
        <v>6000</v>
      </c>
      <c r="Q4">
        <f>+SUM(C3:C26)</f>
        <v>77880</v>
      </c>
    </row>
    <row r="5" spans="1:17" x14ac:dyDescent="0.3">
      <c r="B5" s="2" t="s">
        <v>292</v>
      </c>
      <c r="C5" s="2">
        <v>1800</v>
      </c>
      <c r="D5" s="2">
        <v>1800</v>
      </c>
      <c r="E5" s="2">
        <v>1800</v>
      </c>
      <c r="F5" s="2">
        <v>1800</v>
      </c>
      <c r="G5" s="2">
        <v>1800</v>
      </c>
      <c r="H5" s="2">
        <v>1800</v>
      </c>
      <c r="I5" s="2">
        <v>1800</v>
      </c>
      <c r="J5" s="2">
        <v>1800</v>
      </c>
      <c r="K5" s="2">
        <v>1800</v>
      </c>
      <c r="L5" s="2">
        <v>1800</v>
      </c>
      <c r="M5" s="2">
        <v>1800</v>
      </c>
      <c r="N5" s="2">
        <v>1800</v>
      </c>
    </row>
    <row r="6" spans="1:17" x14ac:dyDescent="0.3">
      <c r="B6" s="2" t="s">
        <v>293</v>
      </c>
      <c r="C6" s="2">
        <v>900</v>
      </c>
      <c r="D6" s="2">
        <v>900</v>
      </c>
      <c r="E6" s="2">
        <v>900</v>
      </c>
      <c r="F6" s="2">
        <v>900</v>
      </c>
      <c r="G6" s="2">
        <v>900</v>
      </c>
      <c r="H6" s="2">
        <v>900</v>
      </c>
      <c r="I6" s="2">
        <v>900</v>
      </c>
      <c r="J6" s="2">
        <v>900</v>
      </c>
      <c r="K6" s="2">
        <v>900</v>
      </c>
      <c r="L6" s="2">
        <v>900</v>
      </c>
      <c r="M6" s="2">
        <v>900</v>
      </c>
      <c r="N6" s="2">
        <v>900</v>
      </c>
    </row>
    <row r="7" spans="1:17" x14ac:dyDescent="0.3">
      <c r="B7" s="2" t="s">
        <v>294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</row>
    <row r="8" spans="1:17" x14ac:dyDescent="0.3">
      <c r="B8" s="2" t="s">
        <v>295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</row>
    <row r="9" spans="1:17" x14ac:dyDescent="0.3">
      <c r="B9" s="2" t="s">
        <v>296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</row>
    <row r="10" spans="1:17" x14ac:dyDescent="0.3">
      <c r="B10" s="2" t="s">
        <v>297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17" x14ac:dyDescent="0.3">
      <c r="B11" s="2" t="s">
        <v>298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</row>
    <row r="12" spans="1:17" x14ac:dyDescent="0.3">
      <c r="B12" s="2" t="s">
        <v>299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</row>
    <row r="13" spans="1:17" x14ac:dyDescent="0.3">
      <c r="B13" t="s">
        <v>300</v>
      </c>
      <c r="C13" s="2">
        <v>4500</v>
      </c>
      <c r="D13" s="2">
        <v>4500</v>
      </c>
      <c r="E13" s="2">
        <v>4500</v>
      </c>
      <c r="F13" s="2">
        <v>4500</v>
      </c>
      <c r="G13" s="2">
        <v>4500</v>
      </c>
      <c r="H13" s="2">
        <v>4500</v>
      </c>
      <c r="I13" s="2">
        <v>4500</v>
      </c>
      <c r="J13" s="2">
        <v>4500</v>
      </c>
      <c r="K13" s="2">
        <v>4500</v>
      </c>
      <c r="L13" s="2">
        <v>4500</v>
      </c>
      <c r="M13" s="2">
        <v>4500</v>
      </c>
      <c r="N13" s="2">
        <v>4500</v>
      </c>
    </row>
    <row r="14" spans="1:17" x14ac:dyDescent="0.3">
      <c r="B14" t="s">
        <v>301</v>
      </c>
      <c r="C14" s="2">
        <v>11700</v>
      </c>
      <c r="D14" s="2">
        <v>11700</v>
      </c>
      <c r="E14" s="2">
        <v>11700</v>
      </c>
      <c r="F14" s="2">
        <v>11700</v>
      </c>
      <c r="G14" s="2">
        <v>11700</v>
      </c>
      <c r="H14" s="2">
        <v>11700</v>
      </c>
      <c r="I14" s="2">
        <v>11700</v>
      </c>
      <c r="J14" s="2">
        <v>11700</v>
      </c>
      <c r="K14" s="2">
        <v>11700</v>
      </c>
      <c r="L14" s="2">
        <v>11700</v>
      </c>
      <c r="M14" s="2">
        <v>11700</v>
      </c>
      <c r="N14" s="2">
        <v>11700</v>
      </c>
    </row>
    <row r="15" spans="1:17" x14ac:dyDescent="0.3">
      <c r="B15" t="s">
        <v>302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</row>
    <row r="16" spans="1:17" x14ac:dyDescent="0.3">
      <c r="B16" t="s">
        <v>303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</row>
    <row r="17" spans="2:14" x14ac:dyDescent="0.3">
      <c r="B17" t="s">
        <v>304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</row>
    <row r="18" spans="2:14" x14ac:dyDescent="0.3">
      <c r="B18" t="s">
        <v>305</v>
      </c>
      <c r="C18" s="2">
        <v>3300</v>
      </c>
      <c r="D18" s="2">
        <v>3300</v>
      </c>
      <c r="E18" s="2">
        <v>3300</v>
      </c>
      <c r="F18" s="2">
        <v>3300</v>
      </c>
      <c r="G18" s="2">
        <v>3300</v>
      </c>
      <c r="H18" s="2">
        <v>3300</v>
      </c>
      <c r="I18" s="2">
        <v>3300</v>
      </c>
      <c r="J18" s="2">
        <v>3300</v>
      </c>
      <c r="K18" s="2">
        <v>3300</v>
      </c>
      <c r="L18" s="2">
        <v>3300</v>
      </c>
      <c r="M18" s="2">
        <v>3300</v>
      </c>
      <c r="N18" s="2">
        <v>3300</v>
      </c>
    </row>
    <row r="19" spans="2:14" x14ac:dyDescent="0.3">
      <c r="B19" t="s">
        <v>306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</row>
    <row r="20" spans="2:14" x14ac:dyDescent="0.3">
      <c r="B20" t="s">
        <v>307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</row>
    <row r="21" spans="2:14" x14ac:dyDescent="0.3">
      <c r="B21" t="s">
        <v>308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</row>
    <row r="22" spans="2:14" x14ac:dyDescent="0.3">
      <c r="B22" t="s">
        <v>309</v>
      </c>
      <c r="C22" s="2">
        <v>15000</v>
      </c>
      <c r="D22" s="2">
        <v>15000</v>
      </c>
      <c r="E22" s="2">
        <v>15000</v>
      </c>
      <c r="F22" s="2">
        <v>15000</v>
      </c>
      <c r="G22" s="2">
        <v>15000</v>
      </c>
      <c r="H22" s="2">
        <v>15000</v>
      </c>
      <c r="I22" s="2">
        <v>15000</v>
      </c>
      <c r="J22" s="2">
        <v>15000</v>
      </c>
      <c r="K22" s="2">
        <v>15000</v>
      </c>
      <c r="L22" s="2">
        <v>15000</v>
      </c>
      <c r="M22" s="2">
        <v>15000</v>
      </c>
      <c r="N22" s="2">
        <v>15000</v>
      </c>
    </row>
    <row r="23" spans="2:14" x14ac:dyDescent="0.3">
      <c r="B23" t="s">
        <v>310</v>
      </c>
      <c r="C23" s="2">
        <v>480</v>
      </c>
      <c r="D23" s="2">
        <v>480</v>
      </c>
      <c r="E23" s="2">
        <v>480</v>
      </c>
      <c r="F23" s="2">
        <v>480</v>
      </c>
      <c r="G23" s="2">
        <v>480</v>
      </c>
      <c r="H23" s="2">
        <v>480</v>
      </c>
      <c r="I23" s="2">
        <v>480</v>
      </c>
      <c r="J23" s="2">
        <v>480</v>
      </c>
      <c r="K23" s="2">
        <v>480</v>
      </c>
      <c r="L23" s="2">
        <v>480</v>
      </c>
      <c r="M23" s="2">
        <v>480</v>
      </c>
      <c r="N23" s="2">
        <v>480</v>
      </c>
    </row>
    <row r="24" spans="2:14" x14ac:dyDescent="0.3">
      <c r="B24" t="s">
        <v>311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</row>
    <row r="25" spans="2:14" x14ac:dyDescent="0.3">
      <c r="B25" t="s">
        <v>312</v>
      </c>
      <c r="C25" s="2">
        <v>300</v>
      </c>
      <c r="D25" s="2">
        <v>300</v>
      </c>
      <c r="E25" s="2">
        <v>300</v>
      </c>
      <c r="F25" s="2">
        <v>300</v>
      </c>
      <c r="G25" s="2">
        <v>300</v>
      </c>
      <c r="H25" s="2">
        <v>300</v>
      </c>
      <c r="I25" s="2">
        <v>300</v>
      </c>
      <c r="J25" s="2">
        <v>300</v>
      </c>
      <c r="K25" s="2">
        <v>300</v>
      </c>
      <c r="L25" s="2">
        <v>300</v>
      </c>
      <c r="M25" s="2">
        <v>300</v>
      </c>
      <c r="N25" s="2">
        <v>300</v>
      </c>
    </row>
    <row r="26" spans="2:14" x14ac:dyDescent="0.3">
      <c r="B26" t="s">
        <v>313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</row>
    <row r="27" spans="2:14" x14ac:dyDescent="0.3">
      <c r="B27" t="s">
        <v>314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</row>
    <row r="28" spans="2:14" x14ac:dyDescent="0.3">
      <c r="B28" t="s">
        <v>315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</row>
    <row r="29" spans="2:14" x14ac:dyDescent="0.3">
      <c r="B29" t="s">
        <v>316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</row>
    <row r="30" spans="2:14" x14ac:dyDescent="0.3">
      <c r="B30" t="s">
        <v>317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</row>
    <row r="31" spans="2:14" x14ac:dyDescent="0.3">
      <c r="B31" t="s">
        <v>318</v>
      </c>
      <c r="C31" s="2">
        <v>1855</v>
      </c>
      <c r="D31" s="2">
        <v>1855</v>
      </c>
      <c r="E31" s="2">
        <v>1855</v>
      </c>
      <c r="F31" s="2">
        <v>1855</v>
      </c>
      <c r="G31" s="2">
        <v>1855</v>
      </c>
      <c r="H31" s="2">
        <v>1855</v>
      </c>
      <c r="I31" s="2">
        <v>1855</v>
      </c>
      <c r="J31" s="2">
        <v>1855</v>
      </c>
      <c r="K31" s="2">
        <v>1855</v>
      </c>
      <c r="L31" s="2">
        <v>1855</v>
      </c>
      <c r="M31" s="2">
        <v>1855</v>
      </c>
      <c r="N31" s="2">
        <v>1855</v>
      </c>
    </row>
    <row r="32" spans="2:14" x14ac:dyDescent="0.3">
      <c r="B32" t="s">
        <v>319</v>
      </c>
      <c r="C32" s="2">
        <v>1630</v>
      </c>
      <c r="D32" s="2">
        <v>1630</v>
      </c>
      <c r="E32" s="2">
        <v>1630</v>
      </c>
      <c r="F32" s="2">
        <v>1630</v>
      </c>
      <c r="G32" s="2">
        <v>1630</v>
      </c>
      <c r="H32" s="2">
        <v>1630</v>
      </c>
      <c r="I32" s="2">
        <v>1630</v>
      </c>
      <c r="J32" s="2">
        <v>1630</v>
      </c>
      <c r="K32" s="2">
        <v>1630</v>
      </c>
      <c r="L32" s="2">
        <v>1630</v>
      </c>
      <c r="M32" s="2">
        <v>1630</v>
      </c>
      <c r="N32" s="2">
        <v>1630</v>
      </c>
    </row>
    <row r="33" spans="2:17" x14ac:dyDescent="0.3">
      <c r="B33" t="s">
        <v>320</v>
      </c>
      <c r="C33" s="2">
        <v>1020</v>
      </c>
      <c r="D33" s="2">
        <v>1020</v>
      </c>
      <c r="E33" s="2">
        <v>1020</v>
      </c>
      <c r="F33" s="2">
        <v>1020</v>
      </c>
      <c r="G33" s="2">
        <v>1020</v>
      </c>
      <c r="H33" s="2">
        <v>1020</v>
      </c>
      <c r="I33" s="2">
        <v>1020</v>
      </c>
      <c r="J33" s="2">
        <v>1020</v>
      </c>
      <c r="K33" s="2">
        <v>1020</v>
      </c>
      <c r="L33" s="2">
        <v>1020</v>
      </c>
      <c r="M33" s="2">
        <v>1020</v>
      </c>
      <c r="N33" s="2">
        <v>1020</v>
      </c>
    </row>
    <row r="34" spans="2:17" x14ac:dyDescent="0.3">
      <c r="B34" t="s">
        <v>321</v>
      </c>
      <c r="C34" s="2">
        <v>2700</v>
      </c>
      <c r="D34" s="2">
        <v>2700</v>
      </c>
      <c r="E34" s="2">
        <v>2700</v>
      </c>
      <c r="F34" s="2">
        <v>2700</v>
      </c>
      <c r="G34" s="2">
        <v>2700</v>
      </c>
      <c r="H34" s="2">
        <v>2700</v>
      </c>
      <c r="I34" s="2">
        <v>2700</v>
      </c>
      <c r="J34" s="2">
        <v>2700</v>
      </c>
      <c r="K34" s="2">
        <v>2700</v>
      </c>
      <c r="L34" s="2">
        <v>2700</v>
      </c>
      <c r="M34" s="2">
        <v>2700</v>
      </c>
      <c r="N34" s="2">
        <v>2700</v>
      </c>
    </row>
    <row r="35" spans="2:17" x14ac:dyDescent="0.3">
      <c r="B35" t="s">
        <v>322</v>
      </c>
      <c r="C35" s="2">
        <v>1420</v>
      </c>
      <c r="D35" s="2">
        <v>1420</v>
      </c>
      <c r="E35" s="2">
        <v>1420</v>
      </c>
      <c r="F35" s="2">
        <v>1420</v>
      </c>
      <c r="G35" s="2">
        <v>1420</v>
      </c>
      <c r="H35" s="2">
        <v>1420</v>
      </c>
      <c r="I35" s="2">
        <v>1420</v>
      </c>
      <c r="J35" s="2">
        <v>1420</v>
      </c>
      <c r="K35" s="2">
        <v>1420</v>
      </c>
      <c r="L35" s="2">
        <v>1420</v>
      </c>
      <c r="M35" s="2">
        <v>1420</v>
      </c>
      <c r="N35" s="2">
        <v>1420</v>
      </c>
    </row>
    <row r="36" spans="2:17" x14ac:dyDescent="0.3">
      <c r="B36" t="s">
        <v>323</v>
      </c>
      <c r="C36" s="2">
        <v>3600</v>
      </c>
      <c r="D36" s="2">
        <v>3600</v>
      </c>
      <c r="E36" s="2">
        <v>3600</v>
      </c>
      <c r="F36" s="2">
        <v>3600</v>
      </c>
      <c r="G36" s="2">
        <v>3600</v>
      </c>
      <c r="H36" s="2">
        <v>3600</v>
      </c>
      <c r="I36" s="2">
        <v>3600</v>
      </c>
      <c r="J36" s="2">
        <v>3600</v>
      </c>
      <c r="K36" s="2">
        <v>3600</v>
      </c>
      <c r="L36" s="2">
        <v>3600</v>
      </c>
      <c r="M36" s="2">
        <v>3600</v>
      </c>
      <c r="N36" s="2">
        <v>3600</v>
      </c>
    </row>
    <row r="37" spans="2:17" x14ac:dyDescent="0.3">
      <c r="B37" t="s">
        <v>324</v>
      </c>
      <c r="C37" s="2">
        <v>4500</v>
      </c>
      <c r="D37" s="2">
        <v>4500</v>
      </c>
      <c r="E37" s="2">
        <v>4500</v>
      </c>
      <c r="F37" s="2">
        <v>4500</v>
      </c>
      <c r="G37" s="2">
        <v>4500</v>
      </c>
      <c r="H37" s="2">
        <v>4500</v>
      </c>
      <c r="I37" s="2">
        <v>4500</v>
      </c>
      <c r="J37" s="2">
        <v>4500</v>
      </c>
      <c r="K37" s="2">
        <v>4500</v>
      </c>
      <c r="L37" s="2">
        <v>4500</v>
      </c>
      <c r="M37" s="2">
        <v>4500</v>
      </c>
      <c r="N37" s="2">
        <v>4500</v>
      </c>
    </row>
    <row r="38" spans="2:17" x14ac:dyDescent="0.3">
      <c r="B38" t="s">
        <v>325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</row>
    <row r="39" spans="2:17" x14ac:dyDescent="0.3">
      <c r="B39" t="s">
        <v>326</v>
      </c>
      <c r="C39" s="2">
        <v>4500</v>
      </c>
      <c r="D39" s="2">
        <v>4500</v>
      </c>
      <c r="E39" s="2">
        <v>4500</v>
      </c>
      <c r="F39" s="2">
        <v>4500</v>
      </c>
      <c r="G39" s="2">
        <v>4500</v>
      </c>
      <c r="H39" s="2">
        <v>4500</v>
      </c>
      <c r="I39" s="2">
        <v>4500</v>
      </c>
      <c r="J39" s="2">
        <v>4500</v>
      </c>
      <c r="K39" s="2">
        <v>4500</v>
      </c>
      <c r="L39" s="2">
        <v>4500</v>
      </c>
      <c r="M39" s="2">
        <v>4500</v>
      </c>
      <c r="N39" s="2">
        <v>4500</v>
      </c>
      <c r="Q39">
        <f>+SUM(C27:C50)</f>
        <v>37875</v>
      </c>
    </row>
    <row r="40" spans="2:17" x14ac:dyDescent="0.3">
      <c r="B40" t="s">
        <v>327</v>
      </c>
      <c r="C40" s="2">
        <v>900</v>
      </c>
      <c r="D40" s="2">
        <v>900</v>
      </c>
      <c r="E40" s="2">
        <v>900</v>
      </c>
      <c r="F40" s="2">
        <v>900</v>
      </c>
      <c r="G40" s="2">
        <v>900</v>
      </c>
      <c r="H40" s="2">
        <v>900</v>
      </c>
      <c r="I40" s="2">
        <v>900</v>
      </c>
      <c r="J40" s="2">
        <v>900</v>
      </c>
      <c r="K40" s="2">
        <v>900</v>
      </c>
      <c r="L40" s="2">
        <v>900</v>
      </c>
      <c r="M40" s="2">
        <v>900</v>
      </c>
      <c r="N40" s="2">
        <v>900</v>
      </c>
    </row>
    <row r="41" spans="2:17" x14ac:dyDescent="0.3">
      <c r="B41" t="s">
        <v>328</v>
      </c>
      <c r="C41" s="2">
        <v>2100</v>
      </c>
      <c r="D41" s="2">
        <v>2100</v>
      </c>
      <c r="E41" s="2">
        <v>2100</v>
      </c>
      <c r="F41" s="2">
        <v>2100</v>
      </c>
      <c r="G41" s="2">
        <v>2100</v>
      </c>
      <c r="H41" s="2">
        <v>2100</v>
      </c>
      <c r="I41" s="2">
        <v>2100</v>
      </c>
      <c r="J41" s="2">
        <v>2100</v>
      </c>
      <c r="K41" s="2">
        <v>2100</v>
      </c>
      <c r="L41" s="2">
        <v>2100</v>
      </c>
      <c r="M41" s="2">
        <v>2100</v>
      </c>
      <c r="N41" s="2">
        <v>2100</v>
      </c>
      <c r="Q41" s="15">
        <f>+DemandaClie!L4</f>
        <v>36017.664000000004</v>
      </c>
    </row>
    <row r="42" spans="2:17" x14ac:dyDescent="0.3">
      <c r="B42" t="s">
        <v>329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</row>
    <row r="43" spans="2:17" x14ac:dyDescent="0.3">
      <c r="B43" t="s">
        <v>330</v>
      </c>
      <c r="C43" s="2">
        <v>3840</v>
      </c>
      <c r="D43" s="2">
        <v>3840</v>
      </c>
      <c r="E43" s="2">
        <v>3840</v>
      </c>
      <c r="F43" s="2">
        <v>3840</v>
      </c>
      <c r="G43" s="2">
        <v>3840</v>
      </c>
      <c r="H43" s="2">
        <v>3840</v>
      </c>
      <c r="I43" s="2">
        <v>3840</v>
      </c>
      <c r="J43" s="2">
        <v>3840</v>
      </c>
      <c r="K43" s="2">
        <v>3840</v>
      </c>
      <c r="L43" s="2">
        <v>3840</v>
      </c>
      <c r="M43" s="2">
        <v>3840</v>
      </c>
      <c r="N43" s="2">
        <v>3840</v>
      </c>
    </row>
    <row r="44" spans="2:17" x14ac:dyDescent="0.3">
      <c r="B44" t="s">
        <v>331</v>
      </c>
      <c r="C44" s="2">
        <v>2400</v>
      </c>
      <c r="D44" s="2">
        <v>2400</v>
      </c>
      <c r="E44" s="2">
        <v>2400</v>
      </c>
      <c r="F44" s="2">
        <v>2400</v>
      </c>
      <c r="G44" s="2">
        <v>2400</v>
      </c>
      <c r="H44" s="2">
        <v>2400</v>
      </c>
      <c r="I44" s="2">
        <v>2400</v>
      </c>
      <c r="J44" s="2">
        <v>2400</v>
      </c>
      <c r="K44" s="2">
        <v>2400</v>
      </c>
      <c r="L44" s="2">
        <v>2400</v>
      </c>
      <c r="M44" s="2">
        <v>2400</v>
      </c>
      <c r="N44" s="2">
        <v>2400</v>
      </c>
    </row>
    <row r="45" spans="2:17" x14ac:dyDescent="0.3">
      <c r="B45" t="s">
        <v>332</v>
      </c>
      <c r="C45" s="2">
        <v>1260</v>
      </c>
      <c r="D45" s="2">
        <v>1260</v>
      </c>
      <c r="E45" s="2">
        <v>1260</v>
      </c>
      <c r="F45" s="2">
        <v>1260</v>
      </c>
      <c r="G45" s="2">
        <v>1260</v>
      </c>
      <c r="H45" s="2">
        <v>1260</v>
      </c>
      <c r="I45" s="2">
        <v>1260</v>
      </c>
      <c r="J45" s="2">
        <v>1260</v>
      </c>
      <c r="K45" s="2">
        <v>1260</v>
      </c>
      <c r="L45" s="2">
        <v>1260</v>
      </c>
      <c r="M45" s="2">
        <v>1260</v>
      </c>
      <c r="N45" s="2">
        <v>1260</v>
      </c>
    </row>
    <row r="46" spans="2:17" x14ac:dyDescent="0.3">
      <c r="B46" t="s">
        <v>333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</row>
    <row r="47" spans="2:17" x14ac:dyDescent="0.3">
      <c r="B47" t="s">
        <v>334</v>
      </c>
      <c r="C47" s="2">
        <v>1200</v>
      </c>
      <c r="D47" s="2">
        <v>1200</v>
      </c>
      <c r="E47" s="2">
        <v>1200</v>
      </c>
      <c r="F47" s="2">
        <v>1200</v>
      </c>
      <c r="G47" s="2">
        <v>1200</v>
      </c>
      <c r="H47" s="2">
        <v>1200</v>
      </c>
      <c r="I47" s="2">
        <v>1200</v>
      </c>
      <c r="J47" s="2">
        <v>1200</v>
      </c>
      <c r="K47" s="2">
        <v>1200</v>
      </c>
      <c r="L47" s="2">
        <v>1200</v>
      </c>
      <c r="M47" s="2">
        <v>1200</v>
      </c>
      <c r="N47" s="2">
        <v>1200</v>
      </c>
    </row>
    <row r="48" spans="2:17" x14ac:dyDescent="0.3">
      <c r="B48" t="s">
        <v>335</v>
      </c>
      <c r="C48" s="2">
        <v>1100</v>
      </c>
      <c r="D48" s="2">
        <v>1100</v>
      </c>
      <c r="E48" s="2">
        <v>1100</v>
      </c>
      <c r="F48" s="2">
        <v>1100</v>
      </c>
      <c r="G48" s="2">
        <v>1100</v>
      </c>
      <c r="H48" s="2">
        <v>1100</v>
      </c>
      <c r="I48" s="2">
        <v>1100</v>
      </c>
      <c r="J48" s="2">
        <v>1100</v>
      </c>
      <c r="K48" s="2">
        <v>1100</v>
      </c>
      <c r="L48" s="2">
        <v>1100</v>
      </c>
      <c r="M48" s="2">
        <v>1100</v>
      </c>
      <c r="N48" s="2">
        <v>1100</v>
      </c>
    </row>
    <row r="49" spans="2:14" x14ac:dyDescent="0.3">
      <c r="B49" t="s">
        <v>336</v>
      </c>
      <c r="C49" s="2">
        <v>2400</v>
      </c>
      <c r="D49" s="2">
        <v>2400</v>
      </c>
      <c r="E49" s="2">
        <v>2400</v>
      </c>
      <c r="F49" s="2">
        <v>2400</v>
      </c>
      <c r="G49" s="2">
        <v>2400</v>
      </c>
      <c r="H49" s="2">
        <v>2400</v>
      </c>
      <c r="I49" s="2">
        <v>2400</v>
      </c>
      <c r="J49" s="2">
        <v>2400</v>
      </c>
      <c r="K49" s="2">
        <v>2400</v>
      </c>
      <c r="L49" s="2">
        <v>2400</v>
      </c>
      <c r="M49" s="2">
        <v>2400</v>
      </c>
      <c r="N49" s="2">
        <v>2400</v>
      </c>
    </row>
    <row r="50" spans="2:14" x14ac:dyDescent="0.3">
      <c r="B50" t="s">
        <v>337</v>
      </c>
      <c r="C50" s="2">
        <v>1450</v>
      </c>
      <c r="D50" s="2">
        <v>1450</v>
      </c>
      <c r="E50" s="2">
        <v>1450</v>
      </c>
      <c r="F50" s="2">
        <v>1450</v>
      </c>
      <c r="G50" s="2">
        <v>1450</v>
      </c>
      <c r="H50" s="2">
        <v>1450</v>
      </c>
      <c r="I50" s="2">
        <v>1450</v>
      </c>
      <c r="J50" s="2">
        <v>1450</v>
      </c>
      <c r="K50" s="2">
        <v>1450</v>
      </c>
      <c r="L50" s="2">
        <v>1450</v>
      </c>
      <c r="M50" s="2">
        <v>1450</v>
      </c>
      <c r="N50" s="2">
        <v>1450</v>
      </c>
    </row>
  </sheetData>
  <autoFilter ref="B2:B12" xr:uid="{AF2D5A38-12B5-4897-B1E4-AB10DBA59F66}"/>
  <mergeCells count="1">
    <mergeCell ref="B1:N1"/>
  </mergeCells>
  <phoneticPr fontId="2" type="noConversion"/>
  <hyperlinks>
    <hyperlink ref="A1" location="Contenido!A1" display="Contenido" xr:uid="{74A080E2-32A7-40E9-8C2C-AD8F551E4EF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85D83-4035-41B0-9F05-C79F7038AD9B}">
  <dimension ref="A1:Q8"/>
  <sheetViews>
    <sheetView workbookViewId="0">
      <selection activeCell="C3" sqref="C3:I10"/>
    </sheetView>
  </sheetViews>
  <sheetFormatPr baseColWidth="10" defaultColWidth="11.44140625" defaultRowHeight="14.4" x14ac:dyDescent="0.3"/>
  <cols>
    <col min="2" max="2" width="24.109375" customWidth="1"/>
    <col min="3" max="14" width="8" bestFit="1" customWidth="1"/>
  </cols>
  <sheetData>
    <row r="1" spans="1:17" x14ac:dyDescent="0.3">
      <c r="A1" s="4" t="s">
        <v>32</v>
      </c>
      <c r="B1" s="47" t="s">
        <v>398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7" x14ac:dyDescent="0.3">
      <c r="C2" s="2" t="s">
        <v>40</v>
      </c>
      <c r="D2" s="2" t="s">
        <v>41</v>
      </c>
      <c r="E2" s="2" t="s">
        <v>42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85</v>
      </c>
      <c r="M2" s="2" t="s">
        <v>86</v>
      </c>
      <c r="N2" s="2" t="s">
        <v>87</v>
      </c>
    </row>
    <row r="3" spans="1:17" x14ac:dyDescent="0.3">
      <c r="B3" s="2" t="s">
        <v>338</v>
      </c>
      <c r="C3" s="2">
        <v>1000000</v>
      </c>
      <c r="D3" s="2">
        <v>1000000</v>
      </c>
      <c r="E3" s="2">
        <v>1000000</v>
      </c>
      <c r="F3" s="2">
        <v>1000000</v>
      </c>
      <c r="G3" s="2">
        <v>1000000</v>
      </c>
      <c r="H3" s="2">
        <v>1000000</v>
      </c>
      <c r="I3" s="2">
        <v>1000000</v>
      </c>
      <c r="J3" s="2">
        <v>1000000</v>
      </c>
      <c r="K3" s="2">
        <v>1000000</v>
      </c>
      <c r="L3" s="2">
        <v>1000000</v>
      </c>
      <c r="M3" s="2">
        <v>1000000</v>
      </c>
      <c r="N3" s="2">
        <v>1000000</v>
      </c>
      <c r="P3" t="s">
        <v>397</v>
      </c>
      <c r="Q3" s="34">
        <v>9.9999999999999996E+27</v>
      </c>
    </row>
    <row r="4" spans="1:17" x14ac:dyDescent="0.3">
      <c r="B4" s="2" t="s">
        <v>339</v>
      </c>
      <c r="C4" s="2">
        <v>1000000</v>
      </c>
      <c r="D4" s="2">
        <v>1000000</v>
      </c>
      <c r="E4" s="2">
        <v>1000000</v>
      </c>
      <c r="F4" s="2">
        <v>1000000</v>
      </c>
      <c r="G4" s="2">
        <v>1000000</v>
      </c>
      <c r="H4" s="2">
        <v>1000000</v>
      </c>
      <c r="I4" s="2">
        <v>1000000</v>
      </c>
      <c r="J4" s="2">
        <v>1000000</v>
      </c>
      <c r="K4" s="2">
        <v>1000000</v>
      </c>
      <c r="L4" s="2">
        <v>1000000</v>
      </c>
      <c r="M4" s="2">
        <v>1000000</v>
      </c>
      <c r="N4" s="2">
        <v>1000000</v>
      </c>
    </row>
    <row r="5" spans="1:17" x14ac:dyDescent="0.3">
      <c r="B5" s="2" t="s">
        <v>340</v>
      </c>
      <c r="C5" s="2">
        <v>1000000</v>
      </c>
      <c r="D5" s="2">
        <v>1000000</v>
      </c>
      <c r="E5" s="2">
        <v>1000000</v>
      </c>
      <c r="F5" s="2">
        <v>1000000</v>
      </c>
      <c r="G5" s="2">
        <v>1000000</v>
      </c>
      <c r="H5" s="2">
        <v>1000000</v>
      </c>
      <c r="I5" s="2">
        <v>1000000</v>
      </c>
      <c r="J5" s="2">
        <v>1000000</v>
      </c>
      <c r="K5" s="2">
        <v>1000000</v>
      </c>
      <c r="L5" s="2">
        <v>1000000</v>
      </c>
      <c r="M5" s="2">
        <v>1000000</v>
      </c>
      <c r="N5" s="2">
        <v>1000000</v>
      </c>
    </row>
    <row r="6" spans="1:17" x14ac:dyDescent="0.3">
      <c r="B6" s="2" t="s">
        <v>341</v>
      </c>
      <c r="C6" s="2">
        <v>1000000</v>
      </c>
      <c r="D6" s="2">
        <v>1000000</v>
      </c>
      <c r="E6" s="2">
        <v>1000000</v>
      </c>
      <c r="F6" s="2">
        <v>1000000</v>
      </c>
      <c r="G6" s="2">
        <v>1000000</v>
      </c>
      <c r="H6" s="2">
        <v>1000000</v>
      </c>
      <c r="I6" s="2">
        <v>1000000</v>
      </c>
      <c r="J6" s="2">
        <v>1000000</v>
      </c>
      <c r="K6" s="2">
        <v>1000000</v>
      </c>
      <c r="L6" s="2">
        <v>1000000</v>
      </c>
      <c r="M6" s="2">
        <v>1000000</v>
      </c>
      <c r="N6" s="2">
        <v>1000000</v>
      </c>
    </row>
    <row r="7" spans="1:17" x14ac:dyDescent="0.3">
      <c r="B7" s="2" t="s">
        <v>342</v>
      </c>
      <c r="C7" s="2">
        <v>1000000</v>
      </c>
      <c r="D7" s="2">
        <v>1000000</v>
      </c>
      <c r="E7" s="2">
        <v>1000000</v>
      </c>
      <c r="F7" s="2">
        <v>1000000</v>
      </c>
      <c r="G7" s="2">
        <v>1000000</v>
      </c>
      <c r="H7" s="2">
        <v>1000000</v>
      </c>
      <c r="I7" s="2">
        <v>1000000</v>
      </c>
      <c r="J7" s="2">
        <v>1000000</v>
      </c>
      <c r="K7" s="2">
        <v>1000000</v>
      </c>
      <c r="L7" s="2">
        <v>1000000</v>
      </c>
      <c r="M7" s="2">
        <v>1000000</v>
      </c>
      <c r="N7" s="2">
        <v>1000000</v>
      </c>
    </row>
    <row r="8" spans="1:17" x14ac:dyDescent="0.3">
      <c r="B8" s="2" t="s">
        <v>343</v>
      </c>
      <c r="C8" s="2">
        <v>1000000</v>
      </c>
      <c r="D8" s="2">
        <v>1000000</v>
      </c>
      <c r="E8" s="2">
        <v>1000000</v>
      </c>
      <c r="F8" s="2">
        <v>1000000</v>
      </c>
      <c r="G8" s="2">
        <v>1000000</v>
      </c>
      <c r="H8" s="2">
        <v>1000000</v>
      </c>
      <c r="I8" s="2">
        <v>1000000</v>
      </c>
      <c r="J8" s="2">
        <v>1000000</v>
      </c>
      <c r="K8" s="2">
        <v>1000000</v>
      </c>
      <c r="L8" s="2">
        <v>1000000</v>
      </c>
      <c r="M8" s="2">
        <v>1000000</v>
      </c>
      <c r="N8" s="2">
        <v>1000000</v>
      </c>
    </row>
  </sheetData>
  <mergeCells count="1">
    <mergeCell ref="B1:N1"/>
  </mergeCells>
  <phoneticPr fontId="2" type="noConversion"/>
  <hyperlinks>
    <hyperlink ref="A1" location="Contenido!A1" display="Contenido" xr:uid="{045A7D0F-57EE-4058-95F0-6C16EA44A45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A7AD8-1FE2-49D8-9DA6-9AA3DAA6189B}">
  <sheetPr>
    <tabColor theme="8" tint="-0.499984740745262"/>
  </sheetPr>
  <dimension ref="A1:O52"/>
  <sheetViews>
    <sheetView workbookViewId="0">
      <selection activeCell="D7" sqref="D7:O8"/>
    </sheetView>
  </sheetViews>
  <sheetFormatPr baseColWidth="10" defaultColWidth="11.44140625" defaultRowHeight="14.4" x14ac:dyDescent="0.3"/>
  <sheetData>
    <row r="1" spans="1:15" x14ac:dyDescent="0.3">
      <c r="A1" s="4" t="s">
        <v>32</v>
      </c>
    </row>
    <row r="6" spans="1:15" x14ac:dyDescent="0.3">
      <c r="C6" t="s">
        <v>461</v>
      </c>
      <c r="D6" t="s">
        <v>449</v>
      </c>
      <c r="E6" t="s">
        <v>450</v>
      </c>
      <c r="F6" t="s">
        <v>451</v>
      </c>
      <c r="G6" t="s">
        <v>452</v>
      </c>
      <c r="H6" t="s">
        <v>453</v>
      </c>
      <c r="I6" t="s">
        <v>454</v>
      </c>
      <c r="J6" t="s">
        <v>455</v>
      </c>
      <c r="K6" t="s">
        <v>456</v>
      </c>
      <c r="L6" t="s">
        <v>457</v>
      </c>
      <c r="M6" t="s">
        <v>458</v>
      </c>
      <c r="N6" t="s">
        <v>459</v>
      </c>
      <c r="O6" t="s">
        <v>460</v>
      </c>
    </row>
    <row r="7" spans="1:15" x14ac:dyDescent="0.3">
      <c r="C7" t="s">
        <v>386</v>
      </c>
      <c r="D7">
        <f>+K52</f>
        <v>67399</v>
      </c>
      <c r="E7">
        <f>+$D$7*D12</f>
        <v>68241.487500000003</v>
      </c>
      <c r="F7">
        <f t="shared" ref="F7:N7" si="0">+$D$7*E12</f>
        <v>71442.94</v>
      </c>
      <c r="G7">
        <f t="shared" si="0"/>
        <v>70027.561000000002</v>
      </c>
      <c r="H7">
        <f t="shared" si="0"/>
        <v>70431.955000000002</v>
      </c>
      <c r="I7">
        <f t="shared" si="0"/>
        <v>69656.866500000004</v>
      </c>
      <c r="J7">
        <f t="shared" si="0"/>
        <v>69589.467499999999</v>
      </c>
      <c r="K7">
        <f t="shared" si="0"/>
        <v>72656.122000000003</v>
      </c>
      <c r="L7">
        <f t="shared" si="0"/>
        <v>71105.944999999992</v>
      </c>
      <c r="M7">
        <f t="shared" si="0"/>
        <v>72386.525999999998</v>
      </c>
      <c r="N7">
        <f t="shared" si="0"/>
        <v>73835.604500000001</v>
      </c>
      <c r="O7">
        <f t="shared" ref="O7" si="1">+$D$7*N12</f>
        <v>75318.382499999992</v>
      </c>
    </row>
    <row r="8" spans="1:15" x14ac:dyDescent="0.3">
      <c r="C8" t="s">
        <v>387</v>
      </c>
      <c r="D8">
        <f>+L52</f>
        <v>33536</v>
      </c>
      <c r="E8">
        <f>+$D$8*D12</f>
        <v>33955.199999999997</v>
      </c>
      <c r="F8">
        <f t="shared" ref="F8:N8" si="2">+$D$8*E12</f>
        <v>35548.160000000003</v>
      </c>
      <c r="G8">
        <f t="shared" si="2"/>
        <v>34843.903999999995</v>
      </c>
      <c r="H8">
        <f t="shared" si="2"/>
        <v>35045.119999999995</v>
      </c>
      <c r="I8">
        <f t="shared" si="2"/>
        <v>34659.456000000006</v>
      </c>
      <c r="J8">
        <f t="shared" si="2"/>
        <v>34625.919999999998</v>
      </c>
      <c r="K8">
        <f t="shared" si="2"/>
        <v>36151.808000000005</v>
      </c>
      <c r="L8">
        <f t="shared" si="2"/>
        <v>35380.479999999996</v>
      </c>
      <c r="M8">
        <f t="shared" si="2"/>
        <v>36017.664000000004</v>
      </c>
      <c r="N8">
        <f t="shared" si="2"/>
        <v>36738.687999999995</v>
      </c>
      <c r="O8">
        <f t="shared" ref="O8" si="3">+$D$8*N12</f>
        <v>37476.479999999996</v>
      </c>
    </row>
    <row r="10" spans="1:15" x14ac:dyDescent="0.3">
      <c r="C10" t="s">
        <v>462</v>
      </c>
    </row>
    <row r="11" spans="1:15" x14ac:dyDescent="0.3">
      <c r="C11" s="25">
        <v>2025</v>
      </c>
      <c r="D11" s="25">
        <v>2025</v>
      </c>
      <c r="E11" s="25">
        <v>2120</v>
      </c>
      <c r="F11" s="25">
        <v>2078</v>
      </c>
      <c r="G11" s="25">
        <v>2090</v>
      </c>
      <c r="H11" s="25">
        <v>2067</v>
      </c>
      <c r="I11" s="25">
        <v>2065</v>
      </c>
      <c r="J11" s="25">
        <v>2156</v>
      </c>
      <c r="K11" s="25">
        <v>2110</v>
      </c>
      <c r="L11" s="25">
        <v>2148</v>
      </c>
      <c r="M11" s="25">
        <v>2191</v>
      </c>
      <c r="N11" s="25">
        <v>2235</v>
      </c>
    </row>
    <row r="12" spans="1:15" x14ac:dyDescent="0.3">
      <c r="C12">
        <f t="shared" ref="C12:E12" si="4">+C11/2000</f>
        <v>1.0125</v>
      </c>
      <c r="D12">
        <f t="shared" si="4"/>
        <v>1.0125</v>
      </c>
      <c r="E12">
        <f t="shared" si="4"/>
        <v>1.06</v>
      </c>
      <c r="F12">
        <f>+F11/2000</f>
        <v>1.0389999999999999</v>
      </c>
      <c r="G12">
        <f t="shared" ref="G12:N12" si="5">+G11/2000</f>
        <v>1.0449999999999999</v>
      </c>
      <c r="H12">
        <f t="shared" si="5"/>
        <v>1.0335000000000001</v>
      </c>
      <c r="I12">
        <f t="shared" si="5"/>
        <v>1.0325</v>
      </c>
      <c r="J12">
        <f t="shared" si="5"/>
        <v>1.0780000000000001</v>
      </c>
      <c r="K12">
        <f t="shared" si="5"/>
        <v>1.0549999999999999</v>
      </c>
      <c r="L12">
        <f t="shared" si="5"/>
        <v>1.0740000000000001</v>
      </c>
      <c r="M12">
        <f t="shared" si="5"/>
        <v>1.0954999999999999</v>
      </c>
      <c r="N12">
        <f t="shared" si="5"/>
        <v>1.1174999999999999</v>
      </c>
    </row>
    <row r="16" spans="1:15" x14ac:dyDescent="0.3">
      <c r="B16" s="40" t="s">
        <v>463</v>
      </c>
      <c r="C16" s="40" t="s">
        <v>464</v>
      </c>
      <c r="D16" s="40" t="s">
        <v>465</v>
      </c>
      <c r="E16" s="40" t="s">
        <v>466</v>
      </c>
      <c r="F16" s="40" t="s">
        <v>467</v>
      </c>
      <c r="G16" s="40" t="s">
        <v>468</v>
      </c>
      <c r="H16" s="40" t="s">
        <v>469</v>
      </c>
      <c r="I16" s="40" t="s">
        <v>470</v>
      </c>
      <c r="K16" s="41" t="s">
        <v>471</v>
      </c>
      <c r="L16" s="41" t="s">
        <v>472</v>
      </c>
    </row>
    <row r="17" spans="2:12" x14ac:dyDescent="0.3">
      <c r="B17" s="42">
        <v>2100</v>
      </c>
      <c r="C17" s="42"/>
      <c r="D17" s="42"/>
      <c r="F17" s="42"/>
      <c r="G17" s="42"/>
      <c r="H17" s="42"/>
      <c r="I17" s="42"/>
      <c r="K17">
        <f>+B17+C17+F17+G17</f>
        <v>2100</v>
      </c>
      <c r="L17">
        <f>+D17+E17+H17+I17</f>
        <v>0</v>
      </c>
    </row>
    <row r="18" spans="2:12" x14ac:dyDescent="0.3">
      <c r="B18" s="43">
        <v>100</v>
      </c>
      <c r="C18" s="43">
        <v>100</v>
      </c>
      <c r="D18" s="43">
        <v>100</v>
      </c>
      <c r="F18" s="43"/>
      <c r="G18" s="43">
        <v>100</v>
      </c>
      <c r="H18" s="43"/>
      <c r="I18" s="43"/>
      <c r="K18">
        <f t="shared" ref="K18:K51" si="6">+B18+C18+F18+G18</f>
        <v>300</v>
      </c>
      <c r="L18">
        <f t="shared" ref="L18:L51" si="7">+D18+E18+H18+I18</f>
        <v>100</v>
      </c>
    </row>
    <row r="19" spans="2:12" x14ac:dyDescent="0.3">
      <c r="B19" s="42">
        <v>50</v>
      </c>
      <c r="C19" s="42">
        <v>60</v>
      </c>
      <c r="D19" s="42"/>
      <c r="F19" s="42"/>
      <c r="G19" s="42"/>
      <c r="H19" s="42"/>
      <c r="I19" s="42"/>
      <c r="K19">
        <f t="shared" si="6"/>
        <v>110</v>
      </c>
      <c r="L19">
        <f t="shared" si="7"/>
        <v>0</v>
      </c>
    </row>
    <row r="20" spans="2:12" x14ac:dyDescent="0.3">
      <c r="B20" s="43"/>
      <c r="C20" s="43"/>
      <c r="D20" s="43"/>
      <c r="F20" s="43"/>
      <c r="G20" s="43"/>
      <c r="H20" s="43"/>
      <c r="I20" s="43"/>
      <c r="K20">
        <f t="shared" si="6"/>
        <v>0</v>
      </c>
      <c r="L20">
        <f t="shared" si="7"/>
        <v>0</v>
      </c>
    </row>
    <row r="21" spans="2:12" x14ac:dyDescent="0.3">
      <c r="B21" s="42"/>
      <c r="C21" s="42"/>
      <c r="D21" s="42"/>
      <c r="F21" s="42"/>
      <c r="G21" s="42"/>
      <c r="H21" s="42"/>
      <c r="I21" s="42"/>
      <c r="K21">
        <f t="shared" si="6"/>
        <v>0</v>
      </c>
      <c r="L21">
        <f t="shared" si="7"/>
        <v>0</v>
      </c>
    </row>
    <row r="22" spans="2:12" x14ac:dyDescent="0.3">
      <c r="B22" s="43">
        <v>20</v>
      </c>
      <c r="C22" s="43"/>
      <c r="D22" s="43"/>
      <c r="F22" s="43"/>
      <c r="G22" s="43"/>
      <c r="H22" s="43"/>
      <c r="I22" s="43"/>
      <c r="K22">
        <f t="shared" si="6"/>
        <v>20</v>
      </c>
      <c r="L22">
        <f t="shared" si="7"/>
        <v>0</v>
      </c>
    </row>
    <row r="23" spans="2:12" x14ac:dyDescent="0.3">
      <c r="B23" s="42"/>
      <c r="C23" s="42"/>
      <c r="D23" s="42">
        <v>50</v>
      </c>
      <c r="F23" s="42"/>
      <c r="G23" s="42"/>
      <c r="H23" s="42"/>
      <c r="I23" s="42"/>
      <c r="K23">
        <f t="shared" si="6"/>
        <v>0</v>
      </c>
      <c r="L23">
        <f t="shared" si="7"/>
        <v>50</v>
      </c>
    </row>
    <row r="24" spans="2:12" x14ac:dyDescent="0.3">
      <c r="B24" s="43"/>
      <c r="C24" s="43"/>
      <c r="D24" s="43">
        <v>40</v>
      </c>
      <c r="F24" s="43"/>
      <c r="G24" s="43"/>
      <c r="H24" s="43"/>
      <c r="I24" s="43"/>
      <c r="K24">
        <f t="shared" si="6"/>
        <v>0</v>
      </c>
      <c r="L24">
        <f t="shared" si="7"/>
        <v>40</v>
      </c>
    </row>
    <row r="25" spans="2:12" x14ac:dyDescent="0.3">
      <c r="B25" s="42"/>
      <c r="C25" s="42">
        <v>300</v>
      </c>
      <c r="D25" s="42"/>
      <c r="F25" s="42"/>
      <c r="G25" s="42"/>
      <c r="H25" s="42"/>
      <c r="I25" s="42"/>
      <c r="K25">
        <f t="shared" si="6"/>
        <v>300</v>
      </c>
      <c r="L25">
        <f t="shared" si="7"/>
        <v>0</v>
      </c>
    </row>
    <row r="26" spans="2:12" x14ac:dyDescent="0.3">
      <c r="B26" s="43"/>
      <c r="C26" s="43"/>
      <c r="D26" s="43">
        <v>30</v>
      </c>
      <c r="F26" s="43"/>
      <c r="G26" s="43"/>
      <c r="H26" s="43"/>
      <c r="I26" s="43"/>
      <c r="K26">
        <f t="shared" si="6"/>
        <v>0</v>
      </c>
      <c r="L26">
        <f t="shared" si="7"/>
        <v>30</v>
      </c>
    </row>
    <row r="27" spans="2:12" x14ac:dyDescent="0.3">
      <c r="B27" s="42">
        <v>30</v>
      </c>
      <c r="C27" s="42"/>
      <c r="D27" s="42">
        <v>40</v>
      </c>
      <c r="F27" s="42"/>
      <c r="G27" s="42"/>
      <c r="H27" s="42"/>
      <c r="I27" s="42"/>
      <c r="K27">
        <f t="shared" si="6"/>
        <v>30</v>
      </c>
      <c r="L27">
        <f t="shared" si="7"/>
        <v>40</v>
      </c>
    </row>
    <row r="28" spans="2:12" x14ac:dyDescent="0.3">
      <c r="B28" s="43"/>
      <c r="C28" s="43">
        <v>80</v>
      </c>
      <c r="D28" s="43"/>
      <c r="F28" s="43"/>
      <c r="G28" s="43"/>
      <c r="H28" s="43"/>
      <c r="I28" s="43"/>
      <c r="K28">
        <f t="shared" si="6"/>
        <v>80</v>
      </c>
      <c r="L28">
        <f t="shared" si="7"/>
        <v>0</v>
      </c>
    </row>
    <row r="29" spans="2:12" x14ac:dyDescent="0.3">
      <c r="B29" s="42"/>
      <c r="C29" s="42"/>
      <c r="D29" s="42"/>
      <c r="F29" s="42"/>
      <c r="G29" s="42"/>
      <c r="H29" s="42"/>
      <c r="I29" s="42"/>
      <c r="K29">
        <f t="shared" si="6"/>
        <v>0</v>
      </c>
      <c r="L29">
        <f t="shared" si="7"/>
        <v>0</v>
      </c>
    </row>
    <row r="30" spans="2:12" x14ac:dyDescent="0.3">
      <c r="B30" s="43">
        <v>225</v>
      </c>
      <c r="C30" s="43">
        <v>225</v>
      </c>
      <c r="D30" s="43">
        <v>225</v>
      </c>
      <c r="E30">
        <v>225</v>
      </c>
      <c r="F30" s="43">
        <v>225</v>
      </c>
      <c r="G30" s="43">
        <v>225</v>
      </c>
      <c r="H30" s="43"/>
      <c r="I30" s="43"/>
      <c r="K30">
        <f t="shared" si="6"/>
        <v>900</v>
      </c>
      <c r="L30">
        <f t="shared" si="7"/>
        <v>450</v>
      </c>
    </row>
    <row r="31" spans="2:12" x14ac:dyDescent="0.3">
      <c r="B31" s="42"/>
      <c r="C31" s="42"/>
      <c r="D31" s="42"/>
      <c r="F31" s="42"/>
      <c r="G31" s="42"/>
      <c r="H31" s="42"/>
      <c r="I31" s="42"/>
      <c r="K31">
        <f t="shared" si="6"/>
        <v>0</v>
      </c>
      <c r="L31">
        <f t="shared" si="7"/>
        <v>0</v>
      </c>
    </row>
    <row r="32" spans="2:12" x14ac:dyDescent="0.3">
      <c r="B32" s="43">
        <v>21000</v>
      </c>
      <c r="C32" s="43"/>
      <c r="D32" s="43"/>
      <c r="F32" s="43"/>
      <c r="G32" s="43"/>
      <c r="H32" s="43"/>
      <c r="I32" s="43"/>
      <c r="K32">
        <f t="shared" si="6"/>
        <v>21000</v>
      </c>
      <c r="L32">
        <f t="shared" si="7"/>
        <v>0</v>
      </c>
    </row>
    <row r="33" spans="2:12" x14ac:dyDescent="0.3">
      <c r="B33" s="42">
        <v>60</v>
      </c>
      <c r="C33" s="42"/>
      <c r="D33" s="42"/>
      <c r="F33" s="42">
        <v>60</v>
      </c>
      <c r="G33" s="42"/>
      <c r="H33" s="42"/>
      <c r="I33" s="42"/>
      <c r="K33">
        <f t="shared" si="6"/>
        <v>120</v>
      </c>
      <c r="L33">
        <f t="shared" si="7"/>
        <v>0</v>
      </c>
    </row>
    <row r="34" spans="2:12" x14ac:dyDescent="0.3">
      <c r="B34" s="43"/>
      <c r="C34" s="43"/>
      <c r="D34" s="43"/>
      <c r="F34" s="43"/>
      <c r="G34" s="43"/>
      <c r="H34" s="43"/>
      <c r="I34" s="43"/>
      <c r="K34">
        <f t="shared" si="6"/>
        <v>0</v>
      </c>
      <c r="L34">
        <f t="shared" si="7"/>
        <v>0</v>
      </c>
    </row>
    <row r="35" spans="2:12" x14ac:dyDescent="0.3">
      <c r="B35" s="42">
        <v>750</v>
      </c>
      <c r="C35" s="42">
        <v>600</v>
      </c>
      <c r="D35" s="42"/>
      <c r="F35" s="42"/>
      <c r="G35" s="42"/>
      <c r="H35" s="42"/>
      <c r="I35" s="42"/>
      <c r="K35">
        <f t="shared" si="6"/>
        <v>1350</v>
      </c>
      <c r="L35">
        <f t="shared" si="7"/>
        <v>0</v>
      </c>
    </row>
    <row r="36" spans="2:12" x14ac:dyDescent="0.3">
      <c r="B36" s="43"/>
      <c r="C36" s="43"/>
      <c r="D36" s="43"/>
      <c r="F36" s="43"/>
      <c r="G36" s="43"/>
      <c r="H36" s="43"/>
      <c r="I36" s="43"/>
      <c r="K36">
        <f t="shared" si="6"/>
        <v>0</v>
      </c>
      <c r="L36">
        <f t="shared" si="7"/>
        <v>0</v>
      </c>
    </row>
    <row r="37" spans="2:12" x14ac:dyDescent="0.3">
      <c r="B37" s="42">
        <v>21000</v>
      </c>
      <c r="C37" s="42">
        <v>7000</v>
      </c>
      <c r="D37" s="42">
        <v>7000</v>
      </c>
      <c r="F37" s="42"/>
      <c r="G37" s="42"/>
      <c r="H37" s="42"/>
      <c r="I37" s="42"/>
      <c r="K37">
        <f t="shared" si="6"/>
        <v>28000</v>
      </c>
      <c r="L37">
        <f t="shared" si="7"/>
        <v>7000</v>
      </c>
    </row>
    <row r="38" spans="2:12" x14ac:dyDescent="0.3">
      <c r="B38" s="43">
        <v>2000</v>
      </c>
      <c r="C38" s="43">
        <v>2500</v>
      </c>
      <c r="D38" s="43"/>
      <c r="F38" s="43"/>
      <c r="G38" s="43"/>
      <c r="H38" s="43"/>
      <c r="I38" s="43"/>
      <c r="K38">
        <f t="shared" si="6"/>
        <v>4500</v>
      </c>
      <c r="L38">
        <f t="shared" si="7"/>
        <v>0</v>
      </c>
    </row>
    <row r="39" spans="2:12" x14ac:dyDescent="0.3">
      <c r="B39" s="42"/>
      <c r="C39" s="42"/>
      <c r="D39" s="42"/>
      <c r="F39" s="42"/>
      <c r="G39" s="42"/>
      <c r="H39" s="42"/>
      <c r="I39" s="42"/>
      <c r="K39">
        <f t="shared" si="6"/>
        <v>0</v>
      </c>
      <c r="L39">
        <f t="shared" si="7"/>
        <v>0</v>
      </c>
    </row>
    <row r="40" spans="2:12" x14ac:dyDescent="0.3">
      <c r="B40" s="43"/>
      <c r="C40" s="43"/>
      <c r="D40" s="43"/>
      <c r="F40" s="43"/>
      <c r="G40" s="43"/>
      <c r="H40" s="43"/>
      <c r="I40" s="43"/>
      <c r="K40">
        <f t="shared" si="6"/>
        <v>0</v>
      </c>
      <c r="L40">
        <f t="shared" si="7"/>
        <v>0</v>
      </c>
    </row>
    <row r="41" spans="2:12" x14ac:dyDescent="0.3">
      <c r="B41" s="42"/>
      <c r="C41" s="42"/>
      <c r="D41" s="42">
        <v>500</v>
      </c>
      <c r="F41" s="42"/>
      <c r="G41" s="42"/>
      <c r="H41" s="42"/>
      <c r="I41" s="42"/>
      <c r="K41">
        <f t="shared" si="6"/>
        <v>0</v>
      </c>
      <c r="L41">
        <f t="shared" si="7"/>
        <v>500</v>
      </c>
    </row>
    <row r="42" spans="2:12" x14ac:dyDescent="0.3">
      <c r="B42" s="43">
        <v>7980</v>
      </c>
      <c r="C42" s="43"/>
      <c r="D42" s="43">
        <v>25200</v>
      </c>
      <c r="F42" s="43"/>
      <c r="G42" s="43"/>
      <c r="H42" s="43"/>
      <c r="I42" s="43"/>
      <c r="K42">
        <f t="shared" si="6"/>
        <v>7980</v>
      </c>
      <c r="L42">
        <f t="shared" si="7"/>
        <v>25200</v>
      </c>
    </row>
    <row r="43" spans="2:12" x14ac:dyDescent="0.3">
      <c r="B43" s="42"/>
      <c r="C43" s="42"/>
      <c r="D43" s="42"/>
      <c r="F43" s="42"/>
      <c r="G43" s="42"/>
      <c r="H43" s="42"/>
      <c r="I43" s="42"/>
      <c r="K43">
        <f t="shared" si="6"/>
        <v>0</v>
      </c>
      <c r="L43">
        <f t="shared" si="7"/>
        <v>0</v>
      </c>
    </row>
    <row r="44" spans="2:12" x14ac:dyDescent="0.3">
      <c r="B44" s="43"/>
      <c r="C44" s="43"/>
      <c r="D44" s="43">
        <v>26</v>
      </c>
      <c r="F44" s="43"/>
      <c r="G44" s="43"/>
      <c r="H44" s="43"/>
      <c r="I44" s="43"/>
      <c r="K44">
        <f t="shared" si="6"/>
        <v>0</v>
      </c>
      <c r="L44">
        <f t="shared" si="7"/>
        <v>26</v>
      </c>
    </row>
    <row r="45" spans="2:12" x14ac:dyDescent="0.3">
      <c r="B45" s="42">
        <v>17</v>
      </c>
      <c r="C45" s="42">
        <v>42</v>
      </c>
      <c r="D45" s="42"/>
      <c r="F45" s="42"/>
      <c r="G45" s="42"/>
      <c r="H45" s="42"/>
      <c r="I45" s="42"/>
      <c r="K45">
        <f t="shared" si="6"/>
        <v>59</v>
      </c>
      <c r="L45">
        <f t="shared" si="7"/>
        <v>0</v>
      </c>
    </row>
    <row r="46" spans="2:12" x14ac:dyDescent="0.3">
      <c r="B46" s="43">
        <v>266</v>
      </c>
      <c r="C46" s="43">
        <v>70</v>
      </c>
      <c r="D46" s="43"/>
      <c r="F46" s="43"/>
      <c r="G46" s="43"/>
      <c r="H46" s="43"/>
      <c r="I46" s="43"/>
      <c r="K46">
        <f t="shared" si="6"/>
        <v>336</v>
      </c>
      <c r="L46">
        <f t="shared" si="7"/>
        <v>0</v>
      </c>
    </row>
    <row r="47" spans="2:12" x14ac:dyDescent="0.3">
      <c r="B47" s="42"/>
      <c r="C47" s="42"/>
      <c r="D47" s="42"/>
      <c r="F47" s="42"/>
      <c r="G47" s="42"/>
      <c r="H47" s="42"/>
      <c r="I47" s="42"/>
      <c r="K47">
        <f t="shared" si="6"/>
        <v>0</v>
      </c>
      <c r="L47">
        <f t="shared" si="7"/>
        <v>0</v>
      </c>
    </row>
    <row r="48" spans="2:12" x14ac:dyDescent="0.3">
      <c r="B48" s="43"/>
      <c r="C48" s="43"/>
      <c r="D48" s="43"/>
      <c r="F48" s="43"/>
      <c r="G48" s="43"/>
      <c r="H48" s="43"/>
      <c r="I48" s="43"/>
      <c r="K48">
        <f t="shared" si="6"/>
        <v>0</v>
      </c>
      <c r="L48">
        <f t="shared" si="7"/>
        <v>0</v>
      </c>
    </row>
    <row r="49" spans="2:12" x14ac:dyDescent="0.3">
      <c r="B49" s="42"/>
      <c r="C49" s="42"/>
      <c r="D49" s="42"/>
      <c r="F49" s="42"/>
      <c r="G49" s="42"/>
      <c r="H49" s="42"/>
      <c r="I49" s="42"/>
      <c r="K49">
        <f t="shared" si="6"/>
        <v>0</v>
      </c>
      <c r="L49">
        <f t="shared" si="7"/>
        <v>0</v>
      </c>
    </row>
    <row r="50" spans="2:12" x14ac:dyDescent="0.3">
      <c r="B50" s="43"/>
      <c r="C50" s="43">
        <v>14</v>
      </c>
      <c r="D50" s="43"/>
      <c r="F50" s="43"/>
      <c r="G50" s="43"/>
      <c r="H50" s="43"/>
      <c r="I50" s="43"/>
      <c r="K50">
        <f t="shared" si="6"/>
        <v>14</v>
      </c>
      <c r="L50">
        <f t="shared" si="7"/>
        <v>0</v>
      </c>
    </row>
    <row r="51" spans="2:12" x14ac:dyDescent="0.3">
      <c r="B51" s="42">
        <v>100</v>
      </c>
      <c r="C51" s="42">
        <v>100</v>
      </c>
      <c r="D51" s="42">
        <v>100</v>
      </c>
      <c r="E51">
        <v>0</v>
      </c>
      <c r="F51" s="42"/>
      <c r="G51" s="42"/>
      <c r="H51" s="42"/>
      <c r="I51" s="42"/>
      <c r="K51">
        <f t="shared" si="6"/>
        <v>200</v>
      </c>
      <c r="L51">
        <f t="shared" si="7"/>
        <v>100</v>
      </c>
    </row>
    <row r="52" spans="2:12" x14ac:dyDescent="0.3">
      <c r="K52">
        <f>SUM(K17:K51)</f>
        <v>67399</v>
      </c>
      <c r="L52">
        <f>SUM(L17:L51)</f>
        <v>33536</v>
      </c>
    </row>
  </sheetData>
  <phoneticPr fontId="2" type="noConversion"/>
  <hyperlinks>
    <hyperlink ref="A1" location="Contenido!A1" display="Contenido" xr:uid="{09A99786-DB40-40E0-A394-2EF9649329AA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519F-3665-4BCB-B113-E5FCD24611D4}">
  <dimension ref="A1:AC7"/>
  <sheetViews>
    <sheetView zoomScale="120" zoomScaleNormal="120" workbookViewId="0">
      <selection activeCell="L4" sqref="L4"/>
    </sheetView>
  </sheetViews>
  <sheetFormatPr baseColWidth="10" defaultColWidth="11.44140625" defaultRowHeight="14.4" x14ac:dyDescent="0.3"/>
  <cols>
    <col min="2" max="2" width="20.88671875" bestFit="1" customWidth="1"/>
    <col min="3" max="5" width="15.44140625" bestFit="1" customWidth="1"/>
    <col min="6" max="29" width="12.44140625" bestFit="1" customWidth="1"/>
  </cols>
  <sheetData>
    <row r="1" spans="1:29" x14ac:dyDescent="0.3">
      <c r="A1" s="4" t="s">
        <v>32</v>
      </c>
      <c r="B1" s="47" t="s">
        <v>399</v>
      </c>
      <c r="C1" s="47"/>
      <c r="D1" s="47"/>
      <c r="E1" s="47"/>
    </row>
    <row r="2" spans="1:29" x14ac:dyDescent="0.3">
      <c r="C2" s="2" t="s">
        <v>40</v>
      </c>
      <c r="D2" s="2" t="s">
        <v>41</v>
      </c>
      <c r="E2" s="2" t="s">
        <v>42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85</v>
      </c>
      <c r="M2" s="2" t="s">
        <v>86</v>
      </c>
      <c r="N2" s="2" t="s">
        <v>87</v>
      </c>
    </row>
    <row r="3" spans="1:29" x14ac:dyDescent="0.3">
      <c r="B3" s="2" t="s">
        <v>45</v>
      </c>
      <c r="C3" s="16">
        <v>67399</v>
      </c>
      <c r="D3" s="16">
        <v>68241.487500000003</v>
      </c>
      <c r="E3" s="16">
        <v>71442.94</v>
      </c>
      <c r="F3" s="16">
        <v>70027.561000000002</v>
      </c>
      <c r="G3" s="16">
        <v>70431.955000000002</v>
      </c>
      <c r="H3" s="16">
        <v>69656.866500000004</v>
      </c>
      <c r="I3" s="16">
        <v>69589.467499999999</v>
      </c>
      <c r="J3" s="16">
        <v>72656.122000000003</v>
      </c>
      <c r="K3" s="16">
        <v>71105.944999999992</v>
      </c>
      <c r="L3" s="16">
        <v>72386.525999999998</v>
      </c>
      <c r="M3" s="16">
        <v>73835.604500000001</v>
      </c>
      <c r="N3" s="16">
        <v>75318.382499999992</v>
      </c>
    </row>
    <row r="4" spans="1:29" x14ac:dyDescent="0.3">
      <c r="B4" s="2" t="s">
        <v>46</v>
      </c>
      <c r="C4" s="16">
        <v>33536</v>
      </c>
      <c r="D4" s="16">
        <v>33955.199999999997</v>
      </c>
      <c r="E4" s="16">
        <v>35548.160000000003</v>
      </c>
      <c r="F4" s="16">
        <v>34843.903999999995</v>
      </c>
      <c r="G4" s="16">
        <v>35045.119999999995</v>
      </c>
      <c r="H4" s="16">
        <v>34659.456000000006</v>
      </c>
      <c r="I4" s="16">
        <v>34625.919999999998</v>
      </c>
      <c r="J4" s="16">
        <v>36151.808000000005</v>
      </c>
      <c r="K4" s="16">
        <v>35380.479999999996</v>
      </c>
      <c r="L4" s="16">
        <v>36017.664000000004</v>
      </c>
      <c r="M4" s="16">
        <v>36738.687999999995</v>
      </c>
      <c r="N4" s="16">
        <v>37476.479999999996</v>
      </c>
    </row>
    <row r="6" spans="1:29" x14ac:dyDescent="0.3">
      <c r="C6">
        <v>77880</v>
      </c>
      <c r="H6" s="15"/>
      <c r="I6" s="15"/>
      <c r="J6" s="15"/>
      <c r="K6" s="15"/>
      <c r="L6" s="15"/>
      <c r="M6" s="15"/>
      <c r="N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 spans="1:29" x14ac:dyDescent="0.3">
      <c r="C7">
        <v>33135</v>
      </c>
    </row>
  </sheetData>
  <autoFilter ref="B2:D8" xr:uid="{4B09519F-3665-4BCB-B113-E5FCD24611D4}"/>
  <mergeCells count="1">
    <mergeCell ref="B1:E1"/>
  </mergeCells>
  <phoneticPr fontId="2" type="noConversion"/>
  <hyperlinks>
    <hyperlink ref="A1" location="Contenido!A1" display="Contenido" xr:uid="{95A1B95A-7971-4080-8DD1-401921B85E7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4a11ca-32b3-40e7-ad9a-4ef76ae05fea">
      <Terms xmlns="http://schemas.microsoft.com/office/infopath/2007/PartnerControls"/>
    </lcf76f155ced4ddcb4097134ff3c332f>
    <TaxCatchAll xmlns="3cf91c18-12ab-49d8-a82d-e79d1e99382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2B8DB24F52DE4890875A827BAD1C22" ma:contentTypeVersion="13" ma:contentTypeDescription="Crear nuevo documento." ma:contentTypeScope="" ma:versionID="2f8838c4c5e0bfef6574cdf7d6ece9c5">
  <xsd:schema xmlns:xsd="http://www.w3.org/2001/XMLSchema" xmlns:xs="http://www.w3.org/2001/XMLSchema" xmlns:p="http://schemas.microsoft.com/office/2006/metadata/properties" xmlns:ns2="944a11ca-32b3-40e7-ad9a-4ef76ae05fea" xmlns:ns3="3cf91c18-12ab-49d8-a82d-e79d1e99382e" targetNamespace="http://schemas.microsoft.com/office/2006/metadata/properties" ma:root="true" ma:fieldsID="5472d92b92310dff46ece657e6ae660a" ns2:_="" ns3:_="">
    <xsd:import namespace="944a11ca-32b3-40e7-ad9a-4ef76ae05fea"/>
    <xsd:import namespace="3cf91c18-12ab-49d8-a82d-e79d1e9938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4a11ca-32b3-40e7-ad9a-4ef76ae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c9715d0d-a720-4a5a-b8fd-b8fdaeb8ec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f91c18-12ab-49d8-a82d-e79d1e99382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0cb919a-b8dd-42c3-bca3-63d18849f962}" ma:internalName="TaxCatchAll" ma:showField="CatchAllData" ma:web="3cf91c18-12ab-49d8-a82d-e79d1e9938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CF90CA-A41A-40B6-AC11-75C6E51523BC}">
  <ds:schemaRefs>
    <ds:schemaRef ds:uri="http://purl.org/dc/elements/1.1/"/>
    <ds:schemaRef ds:uri="http://schemas.microsoft.com/office/2006/metadata/properties"/>
    <ds:schemaRef ds:uri="944a11ca-32b3-40e7-ad9a-4ef76ae05fea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3cf91c18-12ab-49d8-a82d-e79d1e99382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12E51AB-8FB9-4853-BE81-55FC37F3DF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4a11ca-32b3-40e7-ad9a-4ef76ae05fea"/>
    <ds:schemaRef ds:uri="3cf91c18-12ab-49d8-a82d-e79d1e9938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34C7C4-7D83-48C2-9386-680E9D412D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Contenido</vt:lpstr>
      <vt:lpstr>Conjuntos</vt:lpstr>
      <vt:lpstr>Productores</vt:lpstr>
      <vt:lpstr>CAcopio</vt:lpstr>
      <vt:lpstr>Clientes</vt:lpstr>
      <vt:lpstr>Productos</vt:lpstr>
      <vt:lpstr>Tiempo</vt:lpstr>
      <vt:lpstr>Costos</vt:lpstr>
      <vt:lpstr>CostoProduccion</vt:lpstr>
      <vt:lpstr>CostoFijoAcopio</vt:lpstr>
      <vt:lpstr>CostoVarAcopio</vt:lpstr>
      <vt:lpstr>CostoInvAcopio</vt:lpstr>
      <vt:lpstr>Costo de transporte</vt:lpstr>
      <vt:lpstr>CostoTransProdAcopio</vt:lpstr>
      <vt:lpstr>CostoTransAcopioClie</vt:lpstr>
      <vt:lpstr>Capacidades</vt:lpstr>
      <vt:lpstr>CapProductores</vt:lpstr>
      <vt:lpstr>CapAcopio</vt:lpstr>
      <vt:lpstr>Demanda</vt:lpstr>
      <vt:lpstr>DemandaClie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UNIMAGDALENA</dc:creator>
  <cp:keywords/>
  <dc:description/>
  <cp:lastModifiedBy>Andrés Mauricio Peñaloza Fernández</cp:lastModifiedBy>
  <cp:revision/>
  <dcterms:created xsi:type="dcterms:W3CDTF">2022-03-24T20:26:46Z</dcterms:created>
  <dcterms:modified xsi:type="dcterms:W3CDTF">2024-01-04T20:44:21Z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0x010100DF2B8DB24F52DE4890875A827BAD1C22</vt:lpwstr>
  </property>
  <property fmtid="{D5CDD505-2E9C-101B-9397-08002B2CF9AE}" pid="3" name="MediaServiceImageTags">
    <vt:lpwstr/>
  </property>
</Properties>
</file>